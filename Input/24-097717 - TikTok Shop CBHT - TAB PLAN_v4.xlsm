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Sushant.Suryawanshi\Videos\Automation\Tik_tok\QC - Automation V5\Input\"/>
    </mc:Choice>
  </mc:AlternateContent>
  <xr:revisionPtr revIDLastSave="0" documentId="8_{1A11E05C-E2E8-40A2-BFD0-D65D5621401B}" xr6:coauthVersionLast="47" xr6:coauthVersionMax="47" xr10:uidLastSave="{00000000-0000-0000-0000-000000000000}"/>
  <bookViews>
    <workbookView xWindow="-110" yWindow="-110" windowWidth="19420" windowHeight="10300" tabRatio="910" activeTab="1" xr2:uid="{00000000-000D-0000-FFFF-FFFF00000000}"/>
  </bookViews>
  <sheets>
    <sheet name="Project Info &amp; Deliverables" sheetId="1" r:id="rId1"/>
    <sheet name="Stub Specs" sheetId="2" r:id="rId2"/>
    <sheet name="Questions" sheetId="3" state="hidden" r:id="rId3"/>
    <sheet name="Shared Response Lists" sheetId="4" state="hidden" r:id="rId4"/>
    <sheet name="Banner Specs - Banner 1" sheetId="5" r:id="rId5"/>
    <sheet name="Banner Specs - Banner 2" sheetId="10" r:id="rId6"/>
    <sheet name="Request-Change Log" sheetId="6" r:id="rId7"/>
    <sheet name="Weighting" sheetId="7" r:id="rId8"/>
    <sheet name="Definitions" sheetId="8" r:id="rId9"/>
    <sheet name="Lists-Hidden (2)" sheetId="9" state="hidden" r:id="rId10"/>
  </sheets>
  <externalReferences>
    <externalReference r:id="rId11"/>
    <externalReference r:id="rId12"/>
    <externalReference r:id="rId13"/>
  </externalReferences>
  <definedNames>
    <definedName name="_dec1">'[1]Tab Cover Sheet'!$AD$17:$AD$20</definedName>
    <definedName name="_dec2">'[1]Tab Cover Sheet'!$AI$9:$AI$12</definedName>
    <definedName name="BU" localSheetId="9">'Lists-Hidden (2)'!$B$17:$B$22</definedName>
    <definedName name="BU">#REF!</definedName>
    <definedName name="Direction" localSheetId="8">'[2]Lists-Hidden (2)'!$B$30:$B$32</definedName>
    <definedName name="Direction" localSheetId="9">'Lists-Hidden (2)'!$B$30:$B$32</definedName>
    <definedName name="Direction">#REF!</definedName>
    <definedName name="F2F_List">[3]List!$AP$2:$AP$4</definedName>
    <definedName name="FP" localSheetId="8">'[2]Lists-Hidden (2)'!$B$25:$B$27</definedName>
    <definedName name="FP" localSheetId="9">'Lists-Hidden (2)'!$B$25:$B$27</definedName>
    <definedName name="FP">#REF!</definedName>
    <definedName name="Freq">'[1]Tab Cover Sheet'!$AJ$15:$AJ$17</definedName>
    <definedName name="LookFeel">[3]List!$N$2:$N$3</definedName>
    <definedName name="mark">'[1]Tab Cover Sheet'!$AH$1:$AH$2</definedName>
    <definedName name="Methodology" localSheetId="8">'[2]Lists-Hidden (2)'!$B$5:$B$10</definedName>
    <definedName name="Methodology" localSheetId="9">'Lists-Hidden (2)'!$B$5:$B$10</definedName>
    <definedName name="Methodology">#REF!</definedName>
    <definedName name="percent">'[1]Tab Cover Sheet'!$AE$20:$AE$23</definedName>
    <definedName name="print">'[1]Tab Cover Sheet'!$AE$25:$AE$27</definedName>
    <definedName name="_xlnm.Print_Area" localSheetId="7">Weighting!$A$1:$D$64</definedName>
    <definedName name="Print_Area_MI" localSheetId="8">#REF!</definedName>
    <definedName name="Print_Area_MI" localSheetId="9">#REF!</definedName>
    <definedName name="Print_Area_MI">#REF!</definedName>
    <definedName name="Print_Titles_MI" localSheetId="8">#REF!</definedName>
    <definedName name="Print_Titles_MI" localSheetId="9">#REF!</definedName>
    <definedName name="Print_Titles_MI">#REF!</definedName>
    <definedName name="sample2">'[1]Tab Cover Sheet'!$AK$1:$AK$11</definedName>
    <definedName name="type">'[1]Tab Cover Sheet'!$AJ$1:$AJ$12</definedName>
    <definedName name="YN" localSheetId="8">'[2]Lists-Hidden (2)'!$B$13:$B$14</definedName>
    <definedName name="YN" localSheetId="9">'Lists-Hidden (2)'!$B$13:$B$14</definedName>
    <definedName name="YN">#REF!</definedName>
    <definedName name="YNList">[3]List!$C$2:$C$4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7" i="7" l="1"/>
  <c r="C53" i="7"/>
  <c r="C39" i="7"/>
  <c r="C25" i="7"/>
  <c r="C11" i="7"/>
  <c r="B755" i="3"/>
  <c r="B739" i="3"/>
  <c r="B731" i="3"/>
  <c r="B708" i="3"/>
  <c r="B644" i="3"/>
  <c r="B642" i="3"/>
  <c r="B626" i="3"/>
  <c r="B623" i="3"/>
  <c r="B415" i="3"/>
  <c r="B403" i="3"/>
  <c r="B395" i="3"/>
  <c r="B382" i="3"/>
  <c r="B342" i="3"/>
  <c r="B340" i="3"/>
  <c r="B338" i="3"/>
  <c r="B334" i="3"/>
  <c r="B330" i="3"/>
  <c r="B244" i="3"/>
  <c r="B242" i="3"/>
  <c r="B239" i="3"/>
  <c r="B235" i="3"/>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swalker</author>
  </authors>
  <commentList>
    <comment ref="F13" authorId="0" shapeId="0" xr:uid="{00000000-0006-0000-0000-000001000000}">
      <text>
        <r>
          <rPr>
            <sz val="10"/>
            <rFont val="Arial"/>
            <family val="2"/>
          </rPr>
          <t xml:space="preserve">About idREPORTS
idREPORTS are available on all standard ad hoc projects. You have two options...
Option 1:  Data Exported Using IIS Deliver Scripts (raw):  DP will use IISDeliver scripts to clean out most of the unwanted variables which can be delivered within 4 hours of QA sign-off (same day if QA sign-off is prior to NOON - CST / next day if QA sign-off is after NOON - CST)
Option 2:  Data with Weights:  If weighted data is required, data will be delivered 4 hours after weights are finalized (same day if weights are finalized prior to NOON - CST / next day if weights are finalized after NOON - CST)
</t>
        </r>
      </text>
    </comment>
    <comment ref="F14" authorId="0" shapeId="0" xr:uid="{00000000-0006-0000-0000-000002000000}">
      <text>
        <r>
          <rPr>
            <sz val="10"/>
            <rFont val="Arial"/>
            <family val="2"/>
          </rPr>
          <t xml:space="preserve">About idREPORTS
idREPORTS are available on all standard ad hoc projects. You have two options...
Option 1:  Data Exported Using IIS Deliver Scripts (raw):  DP will use IISDeliver scripts to clean out most of the unwanted variables which can be delivered within 4 hours of QA sign-off (same day if QA sign-off is prior to NOON - CST / next day if QA sign-off is after NOON - CST)
Option 2:  Data with Weights:  If weighted data is required, data will be delivered 4 hours after weights are finalized (same day if weights are finalized prior to NOON - CST / next day if weights are finalized after NOON - CST)
</t>
        </r>
      </text>
    </comment>
    <comment ref="F24" authorId="0" shapeId="0" xr:uid="{00000000-0006-0000-0000-000003000000}">
      <text>
        <r>
          <rPr>
            <sz val="10"/>
            <rFont val="Arial"/>
            <family val="2"/>
          </rPr>
          <t xml:space="preserve">SPSS - Clean/Analytical 
Includes subset of closed end questions required for Multivariate Analysis.  GMU/Analytics should provide list of variables to include in the SPSS
</t>
        </r>
      </text>
    </comment>
    <comment ref="F25" authorId="0" shapeId="0" xr:uid="{00000000-0006-0000-0000-000004000000}">
      <text>
        <r>
          <rPr>
            <sz val="10"/>
            <rFont val="Arial"/>
            <family val="2"/>
          </rPr>
          <t xml:space="preserve">SPSS - Client Ready 
Requires DP to set up ALL tables to develop a 'Clean' file
</t>
        </r>
      </text>
    </comment>
    <comment ref="F26" authorId="0" shapeId="0" xr:uid="{00000000-0006-0000-0000-000005000000}">
      <text>
        <r>
          <rPr>
            <sz val="10"/>
            <rFont val="Arial"/>
            <family val="2"/>
          </rPr>
          <t xml:space="preserve">SPSS - Raw (straight from Dimensions) 
Data will NOT be cleaned but extraneous scripting variables are removed
</t>
        </r>
      </text>
    </comment>
  </commentList>
</comments>
</file>

<file path=xl/sharedStrings.xml><?xml version="1.0" encoding="utf-8"?>
<sst xmlns="http://schemas.openxmlformats.org/spreadsheetml/2006/main" count="3851" uniqueCount="1401">
  <si>
    <t>GENERAL PROJECT INFORMATION</t>
  </si>
  <si>
    <t>verson 1.0.2</t>
  </si>
  <si>
    <t>Study Details</t>
  </si>
  <si>
    <t>Deliverables Requested</t>
  </si>
  <si>
    <t>Job Number</t>
  </si>
  <si>
    <t>Data tables in Excel</t>
  </si>
  <si>
    <t>Yes</t>
  </si>
  <si>
    <t>Job Name</t>
  </si>
  <si>
    <t xml:space="preserve">    iData format</t>
  </si>
  <si>
    <t>weighting</t>
  </si>
  <si>
    <t>Client / Company Name</t>
  </si>
  <si>
    <t>netting guide</t>
  </si>
  <si>
    <t>Methodology</t>
  </si>
  <si>
    <t xml:space="preserve">Number of banners:  </t>
  </si>
  <si>
    <t>grid specs</t>
  </si>
  <si>
    <t>Is this a Tracking study or copy over?</t>
  </si>
  <si>
    <t xml:space="preserve">Number of copies/filtered tables:  </t>
  </si>
  <si>
    <t>ce banner specs</t>
  </si>
  <si>
    <t>Previous wave job#</t>
  </si>
  <si>
    <t>IRT Grid</t>
  </si>
  <si>
    <t>Service Line</t>
  </si>
  <si>
    <t>Additional Data Files Needed:</t>
  </si>
  <si>
    <t>Please Include Details</t>
  </si>
  <si>
    <t>Analytic specs</t>
  </si>
  <si>
    <t>Client Service/Research Excellence</t>
  </si>
  <si>
    <t>Topline Report</t>
  </si>
  <si>
    <t>request-change log</t>
  </si>
  <si>
    <t>Project Manager</t>
  </si>
  <si>
    <t>Excel</t>
  </si>
  <si>
    <t>PHIPIISPI</t>
  </si>
  <si>
    <t>idReports option 1: from RAW data</t>
  </si>
  <si>
    <t>idReports option 2: with WEIGHTED data</t>
  </si>
  <si>
    <t>Table Specifics - For this project</t>
  </si>
  <si>
    <t>NUMBERS</t>
  </si>
  <si>
    <t>DATA FILE DELIVERABLES</t>
  </si>
  <si>
    <t>Frequencies and/or Percents</t>
  </si>
  <si>
    <t>Both frequencies and percentages</t>
  </si>
  <si>
    <t>ASCII</t>
  </si>
  <si>
    <t>Vertical % and/or Horizontal %</t>
  </si>
  <si>
    <t>Vertical % only</t>
  </si>
  <si>
    <t>InnoQuest - CSV file for ITP</t>
  </si>
  <si>
    <t>Placement of Nets</t>
  </si>
  <si>
    <t xml:space="preserve">Within the body of the table </t>
  </si>
  <si>
    <t>IRT tables</t>
  </si>
  <si>
    <t>Number of Decimal Points - Percentages</t>
  </si>
  <si>
    <t>Jmp (P&amp;G studies only)</t>
  </si>
  <si>
    <t>Number of Decimal Points - Means</t>
  </si>
  <si>
    <t>Quanvert</t>
  </si>
  <si>
    <t>Horizontal Index</t>
  </si>
  <si>
    <t>No</t>
  </si>
  <si>
    <t>Raw verbatims</t>
  </si>
  <si>
    <t>Suppress zero rows</t>
  </si>
  <si>
    <t>SAS</t>
  </si>
  <si>
    <t>SPSS - Clean/Analytical</t>
  </si>
  <si>
    <t>SPSS - Client Ready</t>
  </si>
  <si>
    <t>Additional Instructions</t>
  </si>
  <si>
    <t>SPSS - Raw</t>
  </si>
  <si>
    <t>SPSS - Stacked</t>
  </si>
  <si>
    <t>Survey Reporter - Tables upload</t>
  </si>
  <si>
    <t>OTHER (please specify)</t>
  </si>
  <si>
    <t>ADDITIONAL ANALYSIS REQUIRED</t>
  </si>
  <si>
    <t xml:space="preserve">Attributable Effects (AE) </t>
  </si>
  <si>
    <t>Brand Positioner</t>
  </si>
  <si>
    <t>Brand Value Creator (BVC)</t>
  </si>
  <si>
    <t>Concept Evaluator Tables</t>
  </si>
  <si>
    <t>Difference Driver (DD)</t>
  </si>
  <si>
    <t>Discrete Choice Filter File</t>
  </si>
  <si>
    <t>Emotitrace/Emoticon</t>
  </si>
  <si>
    <t>Highlighting</t>
  </si>
  <si>
    <t>HotZone</t>
  </si>
  <si>
    <t>InnoQuest - Relaunch/Restage</t>
  </si>
  <si>
    <t>InnoQuest - SOTA/SOVA</t>
  </si>
  <si>
    <t>ITP/Next Gen Tables</t>
  </si>
  <si>
    <t>MaxDiff</t>
  </si>
  <si>
    <t>Multi-Choice Reaction Time (MCRT)</t>
  </si>
  <si>
    <t>Nestle 60/40 file</t>
  </si>
  <si>
    <t>PCI Summary</t>
  </si>
  <si>
    <t>Product Test Analytic File (PTAF)</t>
  </si>
  <si>
    <t>Segmentation (using typing tool)</t>
  </si>
  <si>
    <t>Segmentation (without typing tool)</t>
  </si>
  <si>
    <t>TURF (DAT file)</t>
  </si>
  <si>
    <t>Other (please specify)</t>
  </si>
  <si>
    <t>Question Details</t>
  </si>
  <si>
    <t>Base</t>
  </si>
  <si>
    <t>Text</t>
  </si>
  <si>
    <t>Numeric</t>
  </si>
  <si>
    <t>Nominal</t>
  </si>
  <si>
    <t>Ordinal/Scales</t>
  </si>
  <si>
    <t>Grids/loops</t>
  </si>
  <si>
    <t>Link to Detail</t>
  </si>
  <si>
    <t>Table
(Y/N)</t>
  </si>
  <si>
    <t>Question Name</t>
  </si>
  <si>
    <t>Label</t>
  </si>
  <si>
    <t>Full plus excl DK</t>
  </si>
  <si>
    <t>Filter</t>
  </si>
  <si>
    <t>If base is filtered (less than Total Respondents), provide base definition</t>
  </si>
  <si>
    <t>Base Text (Default = Total Answering)</t>
  </si>
  <si>
    <t>Balancing Line Description (text &amp; definition)</t>
  </si>
  <si>
    <t>Verbatim listing in Excel</t>
  </si>
  <si>
    <t>Table of unique verbatims</t>
  </si>
  <si>
    <t>Coded Open-End</t>
  </si>
  <si>
    <t>Sort</t>
  </si>
  <si>
    <t>Bands/ranges</t>
  </si>
  <si>
    <t>Mean</t>
  </si>
  <si>
    <t>Median</t>
  </si>
  <si>
    <t>SD</t>
  </si>
  <si>
    <t>SE</t>
  </si>
  <si>
    <t>incl 0</t>
  </si>
  <si>
    <t>excl 0</t>
  </si>
  <si>
    <t>Nets</t>
  </si>
  <si>
    <t>Top 1</t>
  </si>
  <si>
    <t>Top 2</t>
  </si>
  <si>
    <t>Top 3</t>
  </si>
  <si>
    <t>Top 4</t>
  </si>
  <si>
    <t>Midbox</t>
  </si>
  <si>
    <t>Bottom 4</t>
  </si>
  <si>
    <t>Bottom 3</t>
  </si>
  <si>
    <t>Bottom 2</t>
  </si>
  <si>
    <t>Bottom 1</t>
  </si>
  <si>
    <t>Factors</t>
  </si>
  <si>
    <t>Grid table</t>
  </si>
  <si>
    <t>TB/means
summaries</t>
  </si>
  <si>
    <t>Full detail
tables</t>
  </si>
  <si>
    <t>Additional notes</t>
  </si>
  <si>
    <t>Question Type</t>
  </si>
  <si>
    <t>Y</t>
  </si>
  <si>
    <t>resp_gender</t>
  </si>
  <si>
    <t>Are you…?</t>
  </si>
  <si>
    <t>Total Answering</t>
  </si>
  <si>
    <t>Single Response Categorical</t>
  </si>
  <si>
    <t>respondent_gender_recoded</t>
  </si>
  <si>
    <t>Recode final gender</t>
  </si>
  <si>
    <t>resp_age</t>
  </si>
  <si>
    <t>RespondentAge</t>
  </si>
  <si>
    <t>QUOTAGERANGE</t>
  </si>
  <si>
    <t>this is a dummy question that will hold age breaks for the quotas that should be defined by the PM; numbers in red should be edited and lines can be added to meet survey objectives.</t>
  </si>
  <si>
    <t>MRK_GROUP</t>
  </si>
  <si>
    <t>Multiple Response Categorical</t>
  </si>
  <si>
    <t>QTOTAL</t>
  </si>
  <si>
    <t>Total Quota Variable</t>
  </si>
  <si>
    <t>HV_FINAL_AGE_GENDER</t>
  </si>
  <si>
    <t>CATEGORYQUALIFY</t>
  </si>
  <si>
    <t>Have you done any of the following in the last 30 days? Select all that apply</t>
  </si>
  <si>
    <t>POSTINGFREQ</t>
  </si>
  <si>
    <t>How often do you create/post original content on social/video platforms for public consumption?</t>
  </si>
  <si>
    <t>AWARENESSUSAGE[..].AWARENESSUSAGE_scale</t>
  </si>
  <si>
    <t>How often do you use each of the following social/video platforms to create/post original content for public consumption?: How often do you use each of the following social/video platforms to create/post original content for public consumption?</t>
  </si>
  <si>
    <t>X</t>
  </si>
  <si>
    <t>hvUSAGEFLAG</t>
  </si>
  <si>
    <t>hvUSAGEFLAG_NEW[..]._Scale</t>
  </si>
  <si>
    <t>CREATE HIDDEN VARIABLE TO CAPTURE USAGE FREQUENCY BY PLATFORM: CREATE HIDDEN VARIABLE TO CAPTURE USAGE FREQUENCY BY PLATFORM</t>
  </si>
  <si>
    <t>hvAWAREFLAG</t>
  </si>
  <si>
    <t>hvAWAREFLAG_NEW[..]._Scale</t>
  </si>
  <si>
    <t>HIDDEN VARIABLE TO CAPTURE AWARENESS BY PLATFORM: HIDDEN VARIABLE TO CAPTURE AWARENESS BY PLATFORM</t>
  </si>
  <si>
    <t>UNAIDEDAWARENESS[..].UNAIDEDAWARENESS_Scale</t>
  </si>
  <si>
    <t>Are there any other social/video platforms that you currently use to create/post original content on for public consumption?: Are there any other social/video platforms that you currently use to create/post original content on for public consumption?</t>
  </si>
  <si>
    <t>UNAIDEDAWARENESS_None</t>
  </si>
  <si>
    <t>CONTENTTYPE</t>
  </si>
  <si>
    <t>What type of original content do you typically create/post on social/video platforms for public consumption? Select all that apply</t>
  </si>
  <si>
    <t>FOLLOWERSMOST</t>
  </si>
  <si>
    <t>Thinking about your account with the most followers, how many followers/subscribers/fans do you have?</t>
  </si>
  <si>
    <t>MRK_NOT_AWARENESSUSAGE</t>
  </si>
  <si>
    <t>FOLLOWERSPLATFORM[..].FOLLOWERSPLATFORM_scale</t>
  </si>
  <si>
    <t>How many followers/subscribers/fans do you currently have on each of the following social/video platforms?: How many followers/subscribers/fans do you currently have on each of the following social/video platforms?</t>
  </si>
  <si>
    <t>HVFollowersMostbyPlatform</t>
  </si>
  <si>
    <t>hvFollowerFlag</t>
  </si>
  <si>
    <t>hvQualifyFlag</t>
  </si>
  <si>
    <t>COMMERCEPLATFORMS[..].COMMERCEPLATFORMS_scale</t>
  </si>
  <si>
    <t>How often do you use each of the following social commerce platforms/features to post shoppable content?: How often do you use each of the following social commerce platforms/features to post shoppable content?</t>
  </si>
  <si>
    <t>hvCommerceCreators</t>
  </si>
  <si>
    <t>hvCommerceCreators_New[..]._scale</t>
  </si>
  <si>
    <t>CONSIDERATION[..].CONSIDERATION_scale</t>
  </si>
  <si>
    <t>How likely are you to use each of the following social commerce platforms/features to post shoppable content in the next 6 months?: `</t>
  </si>
  <si>
    <t>5/4/3/2/1</t>
  </si>
  <si>
    <t>scale</t>
  </si>
  <si>
    <t>hvCommerceLikelihood</t>
  </si>
  <si>
    <t>hvCommerceLikelihood_New[..]._scale</t>
  </si>
  <si>
    <t>TRUST[..].TRUST_scale</t>
  </si>
  <si>
    <t>When it comes to posting shoppable content, how much do you trust each of the following social commerce platforms/features?: When it comes to posting shoppable content, how much do you trust each of the following social commerce platforms/features?</t>
  </si>
  <si>
    <t>10/9/8/7/6/5/4/3/2/1</t>
  </si>
  <si>
    <t>RELEVANCE[..].RELEVANCE_scale</t>
  </si>
  <si>
    <t>When it comes to posting shoppable content, how relevant is each social commerce platform/feature to you?: When it comes to posting shoppable content, how relevant is each social commerce platform/feature to you?</t>
  </si>
  <si>
    <t>1/2/3/4/5/6/7/8/9/10</t>
  </si>
  <si>
    <t>true</t>
  </si>
  <si>
    <t>SATISFACTION[..].SATISFACTION_scale</t>
  </si>
  <si>
    <t>When it comes to posting shoppable content, how satisfied or dissatisfied are you with your experience with each social commerce platform/feature?: When it comes to posting shoppable content, how satisfied or dissatisfied are you with your experience with each social commerce platform/feature?</t>
  </si>
  <si>
    <t>NPS[..].NPS_scale</t>
  </si>
  <si>
    <t>When it comes to posting shoppable content, how likely are you to recommend each of the following social commerce platforms/features to other creators?: When it comes to posting shoppable content, how likely are you to recommend each of the following social commerce platforms/features to other creators?</t>
  </si>
  <si>
    <t>1/2/3/4/5/6/7/8/9/10/11</t>
  </si>
  <si>
    <t>PERCEPTIONS[..].PERCEPTIONS_scale</t>
  </si>
  <si>
    <t>As a creator, what social commerce platforms/features do you associate with each of the following statements? Select all that apply.: As a creator, what social commerce platforms/features do you associate with each of the following statements? Select all that apply.</t>
  </si>
  <si>
    <t>M10NBARRIERS[..].M10NBARRIERS_scale</t>
  </si>
  <si>
    <t>For each of the following social commerce platforms/features, have you experienced any of the following challenges when monetizing shoppable content? Select all that apply: For each of the following social commerce platforms/features, have you experienced any of the following challenges when monetizing shoppable content? Select all that apply</t>
  </si>
  <si>
    <t>M10BARRIERREASONS[..].M10BARRIERREASONS_scale</t>
  </si>
  <si>
    <t>You mentioned that your followers/subscribers/fans disliked or complained about your shoppable content. What were the most common issues that they`ve cited?: You mentioned that your followers/subscribers/fans disliked or complained about your shoppable content. What were the most common issues that they`ve cited?</t>
  </si>
  <si>
    <t>M10BARRIERREASONS_OE</t>
  </si>
  <si>
    <t>You mentioned that your followers/subscribers/fans disliked or complained about your shoppable content on TikTok Shop. What type of content do you think your followers would prefer?</t>
  </si>
  <si>
    <t>MONETIZATION_NEW</t>
  </si>
  <si>
    <t>How have you earned money for creating/posting original content on social or video platforms in the past year? Select all that apply</t>
  </si>
  <si>
    <t>MONETIZATIONRANK[..]._scale</t>
  </si>
  <si>
    <t>You previously mention that you have earned money for creating/posting original content on social or video platforms. Please rank the ways you prefer to monetize, with 1 being your most preferred, 2 being your second most preferred, and so on.: You previously mention that you have earned money for creating/posting original content on social or video platforms. Please rank the ways you prefer to monetize, with 1 being your most preferred, 2 being your second most preferred, and so on.</t>
  </si>
  <si>
    <t>MONETIZATIONPLATFORM</t>
  </si>
  <si>
    <t>On which social/video platforms have you ever earned money, directly from the platform, for creating/posting original content? Select all that apply</t>
  </si>
  <si>
    <t>MRK_hvMonetizationAssignment</t>
  </si>
  <si>
    <t>Hidden Flag for Monetization Section</t>
  </si>
  <si>
    <t>hvMonetizationAssignment</t>
  </si>
  <si>
    <t>MRK_blinderIntroMon_INS</t>
  </si>
  <si>
    <t>Hidden for blinderIntroMon INS</t>
  </si>
  <si>
    <t>blinderIntro</t>
  </si>
  <si>
    <t>Hidden</t>
  </si>
  <si>
    <t>RelType_icon_text</t>
  </si>
  <si>
    <t>What type of relationship do you currently have?</t>
  </si>
  <si>
    <t>Loop_TOOLSCOMPS_NEW[..].TOOLSCOMPS_NEW</t>
  </si>
  <si>
    <t>: Which of the following methods, if any, have you used to monetize on ...? Select all that apply. Click the information icon next to each method to read more about it.</t>
  </si>
  <si>
    <t>MRK_PeceptTT</t>
  </si>
  <si>
    <t>Loop_monetizationPeceptTT[..].monetizationPeceptTT[..]._scale</t>
  </si>
  <si>
    <t>When thinking about the tools you use to monetize on TikTok, please select the statements that apply.: When thinking about the tools you use to monetize on TikTok, please select the statements that apply.</t>
  </si>
  <si>
    <t>TTS_FEATURES_AWARE</t>
  </si>
  <si>
    <t>Before today, have you heard of any of the following shoppable video tools on TikTok Shop? Select all that apply.</t>
  </si>
  <si>
    <t>TTS_CAMPAIGN_PERCEP[..]._scale</t>
  </si>
  <si>
    <t>: As a creator, do you associate the campaign below with any of the following statements? Select all that apply. ...</t>
  </si>
  <si>
    <t>TTS_CAMPAIGN_POSTPERCEP[..]._scale</t>
  </si>
  <si>
    <t>What was your experience after participating in the following campaigns? Select all that apply.: What was your experience after participating in the following campaigns? Select all that apply.</t>
  </si>
  <si>
    <t>TTS_FEATURES_USAGE[..]._scale</t>
  </si>
  <si>
    <t>How often do you use each of the following shoppable video tools TikTok Shop?: How often do you use each of the following shoppable video tools TikTok Shop?</t>
  </si>
  <si>
    <t>TTS_FEATURES_SOA</t>
  </si>
  <si>
    <t>How did you hear about the various shoppable video tools on TikTok Shop?</t>
  </si>
  <si>
    <t>TTS_FEATURES_SOA_RANKED[..]._scale</t>
  </si>
  <si>
    <t>Which feature did you find most useful or impactful in learning about the various shoppable video tools on TikTok Shop? Please rank with 1 being the most impactful, 2 being the second most impactful and so on.: Which feature did you find most useful or impactful in learning about the various shoppable video tools on TikTok Shop? Please rank with 1 being the most impactful, 2 being the second most impactful and so on.</t>
  </si>
  <si>
    <t>TTS_FEATURES_SAT[..]._scale</t>
  </si>
  <si>
    <t>How satisfied are you with each of the following shoppable video tools on TikTok Shop?: How satisfied are you with each of the following shoppable video tools on TikTok Shop?</t>
  </si>
  <si>
    <t>INTROTAGLINES</t>
  </si>
  <si>
    <t>Please read the following taglines for TikTok Shop carefully.</t>
  </si>
  <si>
    <t>INTROTAGLINES_New</t>
  </si>
  <si>
    <t>TAGLINE_USAGE_IMPACT[..]._scale</t>
  </si>
  <si>
    <t>Based on each tagline, how likely are you to use TikTok Shop?: Based on each tagline, how likely are you to use TikTok Shop?</t>
  </si>
  <si>
    <t>Loop_TAGLINE_PERCEPTIONS[..].TAGLINE_PERCEPTIONS[..]._scale</t>
  </si>
  <si>
    <t>Based on the tagline ..., how much do you agree or disagree with each of the following statements?: Based on the tagline unbounded, how much do you agree or disagree with each of the following statements?</t>
  </si>
  <si>
    <t>TAGLINE_FAVORITE</t>
  </si>
  <si>
    <t>Which tagline do you prefer?</t>
  </si>
  <si>
    <t>TAGLINE_FAVORITE_NEW[..]._scale</t>
  </si>
  <si>
    <t>Please rank each tagline based on your preference, with 1 being your most preferred, 2 being your second most preferred, and so on.: Please rank each tagline based on your preference, with 1 being your most preferred, 2 being your second most preferred, and so on.</t>
  </si>
  <si>
    <t>SHOPPABLE</t>
  </si>
  <si>
    <t>As a creator, how interested are you in creating shoppable content?</t>
  </si>
  <si>
    <t>VERTICAL</t>
  </si>
  <si>
    <t>Which of the following topics do you normally create/post original content for public consumption about?</t>
  </si>
  <si>
    <t>OCCUPATION</t>
  </si>
  <si>
    <t>Which of the following best describes your status as a creator?</t>
  </si>
  <si>
    <t>GENDERID</t>
  </si>
  <si>
    <t>Some questions can be sensitive in nature. We would like to remind you that your participation is strictly voluntary and that your responses are used for research purposes only. A “Prefer not to answer” option is available for you to select, if the case. Do you identify as :</t>
  </si>
  <si>
    <t>Categorical</t>
  </si>
  <si>
    <t>[1..1]</t>
  </si>
  <si>
    <t>male</t>
  </si>
  <si>
    <t>Male</t>
  </si>
  <si>
    <t>Response</t>
  </si>
  <si>
    <t>female</t>
  </si>
  <si>
    <t>Female</t>
  </si>
  <si>
    <t>_1</t>
  </si>
  <si>
    <t>_2</t>
  </si>
  <si>
    <t>_3</t>
  </si>
  <si>
    <t>Other</t>
  </si>
  <si>
    <t>1</t>
  </si>
  <si>
    <t>2</t>
  </si>
  <si>
    <t>3</t>
  </si>
  <si>
    <t>_4</t>
  </si>
  <si>
    <t>4</t>
  </si>
  <si>
    <t>_5</t>
  </si>
  <si>
    <t>5</t>
  </si>
  <si>
    <t>_6</t>
  </si>
  <si>
    <t>6</t>
  </si>
  <si>
    <t>_7</t>
  </si>
  <si>
    <t>7</t>
  </si>
  <si>
    <t>_8</t>
  </si>
  <si>
    <t>8</t>
  </si>
  <si>
    <t>_9</t>
  </si>
  <si>
    <t>9</t>
  </si>
  <si>
    <t>_10</t>
  </si>
  <si>
    <t>10</t>
  </si>
  <si>
    <t>_11</t>
  </si>
  <si>
    <t>11</t>
  </si>
  <si>
    <t>_12</t>
  </si>
  <si>
    <t>12</t>
  </si>
  <si>
    <t>_13</t>
  </si>
  <si>
    <t>13</t>
  </si>
  <si>
    <t>_14</t>
  </si>
  <si>
    <t>14</t>
  </si>
  <si>
    <t>_15</t>
  </si>
  <si>
    <t>15</t>
  </si>
  <si>
    <t>_16</t>
  </si>
  <si>
    <t>16</t>
  </si>
  <si>
    <t>_17</t>
  </si>
  <si>
    <t>17</t>
  </si>
  <si>
    <t>_18</t>
  </si>
  <si>
    <t>18</t>
  </si>
  <si>
    <t>_19</t>
  </si>
  <si>
    <t>19</t>
  </si>
  <si>
    <t>_20</t>
  </si>
  <si>
    <t>20</t>
  </si>
  <si>
    <t>_21</t>
  </si>
  <si>
    <t>21</t>
  </si>
  <si>
    <t>_22</t>
  </si>
  <si>
    <t>22</t>
  </si>
  <si>
    <t>_23</t>
  </si>
  <si>
    <t>23</t>
  </si>
  <si>
    <t>_24</t>
  </si>
  <si>
    <t>24</t>
  </si>
  <si>
    <t>_25</t>
  </si>
  <si>
    <t>25</t>
  </si>
  <si>
    <t>_26</t>
  </si>
  <si>
    <t>26</t>
  </si>
  <si>
    <t>_27</t>
  </si>
  <si>
    <t>27</t>
  </si>
  <si>
    <t>_28</t>
  </si>
  <si>
    <t>28</t>
  </si>
  <si>
    <t>_29</t>
  </si>
  <si>
    <t>29</t>
  </si>
  <si>
    <t>_30</t>
  </si>
  <si>
    <t>30</t>
  </si>
  <si>
    <t>_31</t>
  </si>
  <si>
    <t>31</t>
  </si>
  <si>
    <t>_32</t>
  </si>
  <si>
    <t>32</t>
  </si>
  <si>
    <t>_33</t>
  </si>
  <si>
    <t>33</t>
  </si>
  <si>
    <t>_34</t>
  </si>
  <si>
    <t>34</t>
  </si>
  <si>
    <t>_35</t>
  </si>
  <si>
    <t>35</t>
  </si>
  <si>
    <t>_36</t>
  </si>
  <si>
    <t>36</t>
  </si>
  <si>
    <t>_37</t>
  </si>
  <si>
    <t>37</t>
  </si>
  <si>
    <t>_38</t>
  </si>
  <si>
    <t>38</t>
  </si>
  <si>
    <t>_39</t>
  </si>
  <si>
    <t>39</t>
  </si>
  <si>
    <t>_40</t>
  </si>
  <si>
    <t>40</t>
  </si>
  <si>
    <t>_41</t>
  </si>
  <si>
    <t>41</t>
  </si>
  <si>
    <t>_42</t>
  </si>
  <si>
    <t>42</t>
  </si>
  <si>
    <t>_43</t>
  </si>
  <si>
    <t>43</t>
  </si>
  <si>
    <t>_44</t>
  </si>
  <si>
    <t>44</t>
  </si>
  <si>
    <t>_45</t>
  </si>
  <si>
    <t>45</t>
  </si>
  <si>
    <t>_46</t>
  </si>
  <si>
    <t>46</t>
  </si>
  <si>
    <t>_47</t>
  </si>
  <si>
    <t>47</t>
  </si>
  <si>
    <t>_48</t>
  </si>
  <si>
    <t>48</t>
  </si>
  <si>
    <t>_49</t>
  </si>
  <si>
    <t>49</t>
  </si>
  <si>
    <t>_50</t>
  </si>
  <si>
    <t>50</t>
  </si>
  <si>
    <t>_51</t>
  </si>
  <si>
    <t>51</t>
  </si>
  <si>
    <t>_52</t>
  </si>
  <si>
    <t>52</t>
  </si>
  <si>
    <t>_53</t>
  </si>
  <si>
    <t>53</t>
  </si>
  <si>
    <t>_54</t>
  </si>
  <si>
    <t>54</t>
  </si>
  <si>
    <t>_55</t>
  </si>
  <si>
    <t>55</t>
  </si>
  <si>
    <t>_56</t>
  </si>
  <si>
    <t>56</t>
  </si>
  <si>
    <t>_57</t>
  </si>
  <si>
    <t>57</t>
  </si>
  <si>
    <t>_58</t>
  </si>
  <si>
    <t>58</t>
  </si>
  <si>
    <t>_59</t>
  </si>
  <si>
    <t>59</t>
  </si>
  <si>
    <t>_60</t>
  </si>
  <si>
    <t>60</t>
  </si>
  <si>
    <t>_61</t>
  </si>
  <si>
    <t>61</t>
  </si>
  <si>
    <t>_62</t>
  </si>
  <si>
    <t>62</t>
  </si>
  <si>
    <t>_63</t>
  </si>
  <si>
    <t>63</t>
  </si>
  <si>
    <t>_64</t>
  </si>
  <si>
    <t>64</t>
  </si>
  <si>
    <t>_65</t>
  </si>
  <si>
    <t>65</t>
  </si>
  <si>
    <t>_66</t>
  </si>
  <si>
    <t>66</t>
  </si>
  <si>
    <t>_67</t>
  </si>
  <si>
    <t>67</t>
  </si>
  <si>
    <t>_68</t>
  </si>
  <si>
    <t>68</t>
  </si>
  <si>
    <t>_69</t>
  </si>
  <si>
    <t>69</t>
  </si>
  <si>
    <t>_70</t>
  </si>
  <si>
    <t>70</t>
  </si>
  <si>
    <t>_71</t>
  </si>
  <si>
    <t>71</t>
  </si>
  <si>
    <t>_72</t>
  </si>
  <si>
    <t>72</t>
  </si>
  <si>
    <t>_73</t>
  </si>
  <si>
    <t>73</t>
  </si>
  <si>
    <t>_74</t>
  </si>
  <si>
    <t>74</t>
  </si>
  <si>
    <t>_75</t>
  </si>
  <si>
    <t>75</t>
  </si>
  <si>
    <t>_76</t>
  </si>
  <si>
    <t>76</t>
  </si>
  <si>
    <t>_77</t>
  </si>
  <si>
    <t>77</t>
  </si>
  <si>
    <t>_78</t>
  </si>
  <si>
    <t>78</t>
  </si>
  <si>
    <t>_79</t>
  </si>
  <si>
    <t>79</t>
  </si>
  <si>
    <t>_80</t>
  </si>
  <si>
    <t>80</t>
  </si>
  <si>
    <t>_81</t>
  </si>
  <si>
    <t>81</t>
  </si>
  <si>
    <t>_82</t>
  </si>
  <si>
    <t>82</t>
  </si>
  <si>
    <t>_83</t>
  </si>
  <si>
    <t>83</t>
  </si>
  <si>
    <t>_84</t>
  </si>
  <si>
    <t>84</t>
  </si>
  <si>
    <t>_85</t>
  </si>
  <si>
    <t>85</t>
  </si>
  <si>
    <t>_86</t>
  </si>
  <si>
    <t>86</t>
  </si>
  <si>
    <t>_87</t>
  </si>
  <si>
    <t>87</t>
  </si>
  <si>
    <t>_88</t>
  </si>
  <si>
    <t>88</t>
  </si>
  <si>
    <t>_89</t>
  </si>
  <si>
    <t>89</t>
  </si>
  <si>
    <t>_90</t>
  </si>
  <si>
    <t>90</t>
  </si>
  <si>
    <t>_91</t>
  </si>
  <si>
    <t>91</t>
  </si>
  <si>
    <t>_92</t>
  </si>
  <si>
    <t>92</t>
  </si>
  <si>
    <t>_93</t>
  </si>
  <si>
    <t>93</t>
  </si>
  <si>
    <t>_94</t>
  </si>
  <si>
    <t>94</t>
  </si>
  <si>
    <t>_95</t>
  </si>
  <si>
    <t>95</t>
  </si>
  <si>
    <t>_96</t>
  </si>
  <si>
    <t>96</t>
  </si>
  <si>
    <t>_97</t>
  </si>
  <si>
    <t>97</t>
  </si>
  <si>
    <t>_98</t>
  </si>
  <si>
    <t>98</t>
  </si>
  <si>
    <t>_99</t>
  </si>
  <si>
    <t>99</t>
  </si>
  <si>
    <t>_100</t>
  </si>
  <si>
    <t>100</t>
  </si>
  <si>
    <t>_101</t>
  </si>
  <si>
    <t>101</t>
  </si>
  <si>
    <t>_102</t>
  </si>
  <si>
    <t>102</t>
  </si>
  <si>
    <t>_103</t>
  </si>
  <si>
    <t>103</t>
  </si>
  <si>
    <t>_104</t>
  </si>
  <si>
    <t>104</t>
  </si>
  <si>
    <t>_105</t>
  </si>
  <si>
    <t>105</t>
  </si>
  <si>
    <t>_106</t>
  </si>
  <si>
    <t>106</t>
  </si>
  <si>
    <t>_107</t>
  </si>
  <si>
    <t>107</t>
  </si>
  <si>
    <t>_108</t>
  </si>
  <si>
    <t>108</t>
  </si>
  <si>
    <t>_109</t>
  </si>
  <si>
    <t>109</t>
  </si>
  <si>
    <t>_998</t>
  </si>
  <si>
    <t>Age not calculated</t>
  </si>
  <si>
    <t>_999</t>
  </si>
  <si>
    <t>Age &amp;lt; 1</t>
  </si>
  <si>
    <t>_18_24</t>
  </si>
  <si>
    <t>18-24</t>
  </si>
  <si>
    <t>_25_34</t>
  </si>
  <si>
    <t>25-34</t>
  </si>
  <si>
    <t>_35_44</t>
  </si>
  <si>
    <t>35-44</t>
  </si>
  <si>
    <t>_45_49</t>
  </si>
  <si>
    <t>45-49</t>
  </si>
  <si>
    <t>[..]</t>
  </si>
  <si>
    <t>0001</t>
  </si>
  <si>
    <t>Total Completes</t>
  </si>
  <si>
    <t>Male 18-24</t>
  </si>
  <si>
    <t>Male 25-34</t>
  </si>
  <si>
    <t>Male 35-44</t>
  </si>
  <si>
    <t>Male 45-49</t>
  </si>
  <si>
    <t>Female 18-24</t>
  </si>
  <si>
    <t>Female 25-34</t>
  </si>
  <si>
    <t>Female 35-44</t>
  </si>
  <si>
    <t>Female 45-49</t>
  </si>
  <si>
    <t>Another gender 18-24</t>
  </si>
  <si>
    <t>Another gender 25-34</t>
  </si>
  <si>
    <t>Another gender 35-44</t>
  </si>
  <si>
    <t>Another gender 45-49</t>
  </si>
  <si>
    <t>Prefer not to answer 18-24</t>
  </si>
  <si>
    <t>Prefer not to answer 25-34</t>
  </si>
  <si>
    <t>Prefer not to answer 35-44</t>
  </si>
  <si>
    <t>Prefer not to answer 45-49</t>
  </si>
  <si>
    <t>[1..]</t>
  </si>
  <si>
    <t>Create/post or live stream content on social media or video platforms for public viewing/consumption (i.e., as a ‘creator`, ‘streamer`, or ‘influencer`)</t>
  </si>
  <si>
    <t>Post or live stream content on social media or video platforms for myself and people I know (friends or family)</t>
  </si>
  <si>
    <t>View posts on social media</t>
  </si>
  <si>
    <t>Watch live streamed content</t>
  </si>
  <si>
    <t>Watch content on streaming platforms</t>
  </si>
  <si>
    <t>Read blogs or articles</t>
  </si>
  <si>
    <t>Write blogs or articles</t>
  </si>
  <si>
    <t>Shop for household products</t>
  </si>
  <si>
    <t>Shop for tech products and services</t>
  </si>
  <si>
    <t>Shop for experiences and travel</t>
  </si>
  <si>
    <t>None of these</t>
  </si>
  <si>
    <t>Multiple times a day</t>
  </si>
  <si>
    <t>About once a day</t>
  </si>
  <si>
    <t>Multiple times a week</t>
  </si>
  <si>
    <t>Multiple times a month</t>
  </si>
  <si>
    <t>About once a month</t>
  </si>
  <si>
    <t>Less than once a month</t>
  </si>
  <si>
    <t>DAILY/WEEKLY</t>
  </si>
  <si>
    <t>MONTHLY, BUT NOT WEEKLY</t>
  </si>
  <si>
    <t>WITHIN PAST YEAR, BUT NOT MONTHLY</t>
  </si>
  <si>
    <t>MORE THAN A YEAR AGO</t>
  </si>
  <si>
    <t>NEVER USED</t>
  </si>
  <si>
    <t>AWARE</t>
  </si>
  <si>
    <t>NOT AWARE</t>
  </si>
  <si>
    <t>No, I don`t use any other platforms</t>
  </si>
  <si>
    <t>Visual creator effects (e.g., stickers, filters, lenses)</t>
  </si>
  <si>
    <t>Audio creator effects</t>
  </si>
  <si>
    <t>Very short videos (one minute or less)</t>
  </si>
  <si>
    <t>Short videos (one to five minutes)</t>
  </si>
  <si>
    <t>Long videos (more than five minutes, but less than 10)</t>
  </si>
  <si>
    <t>Longer videos (more than 10 minutes)</t>
  </si>
  <si>
    <t>Live stream videos</t>
  </si>
  <si>
    <t>Photos/Images</t>
  </si>
  <si>
    <t>Stories (time limited posts)</t>
  </si>
  <si>
    <t>Long/short-form articles</t>
  </si>
  <si>
    <t>Blog posts</t>
  </si>
  <si>
    <t>Status updates/text-only posts</t>
  </si>
  <si>
    <t>Podcasts</t>
  </si>
  <si>
    <t>None of the above</t>
  </si>
  <si>
    <t>0-999</t>
  </si>
  <si>
    <t>1,000-9,999</t>
  </si>
  <si>
    <t>10,000-99,999</t>
  </si>
  <si>
    <t>100,000-499,999</t>
  </si>
  <si>
    <t>500,000-999,999</t>
  </si>
  <si>
    <t>1,000,000-4,999,999</t>
  </si>
  <si>
    <t>5,000,000+</t>
  </si>
  <si>
    <t>TikTok</t>
  </si>
  <si>
    <t>Instagram</t>
  </si>
  <si>
    <t>Snapchat</t>
  </si>
  <si>
    <t>YouTube</t>
  </si>
  <si>
    <t>Facebook</t>
  </si>
  <si>
    <t>Twitch</t>
  </si>
  <si>
    <t>Patreon</t>
  </si>
  <si>
    <t>0 – 999 FOLLOWERS</t>
  </si>
  <si>
    <t>1,000 – 9,999 FOLLOWERS</t>
  </si>
  <si>
    <t>10,000 – 99,999 FOLLOWERS</t>
  </si>
  <si>
    <t>100,000 – 999,999 FOLLOWERS</t>
  </si>
  <si>
    <t>1M+ FOLLOWERS</t>
  </si>
  <si>
    <t>Qualified</t>
  </si>
  <si>
    <t>Disqualified</t>
  </si>
  <si>
    <t>POTENTIAL USER</t>
  </si>
  <si>
    <t>REJECTOR</t>
  </si>
  <si>
    <t>Shared response list</t>
  </si>
  <si>
    <t>Other, please specify</t>
  </si>
  <si>
    <t>I`ve never earned money for posting or creating content</t>
  </si>
  <si>
    <t>...</t>
  </si>
  <si>
    <t>Thanks for your answers so far! Based on your birth month ... you`ve been selected to answer about ... and ....</t>
  </si>
  <si>
    <t>Thanks for your answers so far! Based on your birth month ... you`ve been selected to answer about ....</t>
  </si>
  <si>
    <t>_1_1</t>
  </si>
  <si>
    <t>(i.e., Tipping, Video Gifts)</t>
  </si>
  <si>
    <t>_1_2</t>
  </si>
  <si>
    <t>(i.e., recurring paid access to content)</t>
  </si>
  <si>
    <t>_1_3</t>
  </si>
  <si>
    <t>(i.e., Creator Rewards Program, Gaming Incentive Program, Effect Creator Rewards)</t>
  </si>
  <si>
    <t>_1_4</t>
  </si>
  <si>
    <t>(i.e., LIVE gifting, LIVE subscriptions)</t>
  </si>
  <si>
    <t>_1_5</t>
  </si>
  <si>
    <t>(i.e., TikTok Shop, Storefronts)</t>
  </si>
  <si>
    <t>_1_6</t>
  </si>
  <si>
    <t>_1_7</t>
  </si>
  <si>
    <t>(i.e., TikTok Creator Marketplace, Branded Mission, creator agencies, influencer marketing platforms, direct from brands)</t>
  </si>
  <si>
    <t>_1_8</t>
  </si>
  <si>
    <t>_1_9</t>
  </si>
  <si>
    <t>(i.e., appearances, meet and greets, etc.)</t>
  </si>
  <si>
    <t>_1_10</t>
  </si>
  <si>
    <t>_1_11</t>
  </si>
  <si>
    <t>(i.e., TikTok Series)</t>
  </si>
  <si>
    <t>_2_1</t>
  </si>
  <si>
    <t>(i.e., Gifts, Badges)</t>
  </si>
  <si>
    <t>_2_2</t>
  </si>
  <si>
    <t>_2_3</t>
  </si>
  <si>
    <t>(i.e., paid directly by the platform)</t>
  </si>
  <si>
    <t>_2_4</t>
  </si>
  <si>
    <t>(i.e., Badges)</t>
  </si>
  <si>
    <t>_2_5</t>
  </si>
  <si>
    <t>(i.e., Instagram Shop)</t>
  </si>
  <si>
    <t>_2_6</t>
  </si>
  <si>
    <t>(i.e., Shop tags)</t>
  </si>
  <si>
    <t>_2_7</t>
  </si>
  <si>
    <t>(i.e., Instagram Creator Marketplace, creator agencies, influencer marketing platforms, direct from brands)</t>
  </si>
  <si>
    <t>_2_8</t>
  </si>
  <si>
    <t>(i.e., Instagram Ads)</t>
  </si>
  <si>
    <t>_2_9</t>
  </si>
  <si>
    <t>_2_10</t>
  </si>
  <si>
    <t>(i.e., coaching, classes, events, etc.)</t>
  </si>
  <si>
    <t>_2_11</t>
  </si>
  <si>
    <t>(i.e., premium content)</t>
  </si>
  <si>
    <t>_3_1</t>
  </si>
  <si>
    <t>(i.e., Gifting through story replies (Snap Tokens/Crystals))</t>
  </si>
  <si>
    <t>_3_2</t>
  </si>
  <si>
    <t>_3_3</t>
  </si>
  <si>
    <t>(i.e., Spotlight Challenges)</t>
  </si>
  <si>
    <t>_3_4</t>
  </si>
  <si>
    <t>_3_5</t>
  </si>
  <si>
    <t>(i.e., product/merch sales made on the platform)</t>
  </si>
  <si>
    <t>_3_6</t>
  </si>
  <si>
    <t>(i.e., commission from products links/codes)</t>
  </si>
  <si>
    <t>_3_7</t>
  </si>
  <si>
    <t>(i.e., Snap`s Creator Marketplace, creator agencies, influencer marketing platforms, direct from brands)</t>
  </si>
  <si>
    <t>_3_8</t>
  </si>
  <si>
    <t>(i.e., Stories revenue share / Snap Ads / Story Ads)</t>
  </si>
  <si>
    <t>_3_9</t>
  </si>
  <si>
    <t>_3_10</t>
  </si>
  <si>
    <t>_3_11</t>
  </si>
  <si>
    <t>_4_1</t>
  </si>
  <si>
    <t>(i.e., Super Thanks)</t>
  </si>
  <si>
    <t>_4_2</t>
  </si>
  <si>
    <t>(i.e., Channel Memberships)</t>
  </si>
  <si>
    <t>_4_3</t>
  </si>
  <si>
    <t>(i.e., YouTube Shorts Fund)</t>
  </si>
  <si>
    <t>_4_4</t>
  </si>
  <si>
    <t>(i.e., Live badges, gifts)</t>
  </si>
  <si>
    <t>_4_5</t>
  </si>
  <si>
    <t>(i.e., YouTube Shopping)</t>
  </si>
  <si>
    <t>_4_6</t>
  </si>
  <si>
    <t>_4_7</t>
  </si>
  <si>
    <t>(i.e., YouTube BrandConnect, creator agencies, influencer marketing platforms, direct from brands)</t>
  </si>
  <si>
    <t>_4_8</t>
  </si>
  <si>
    <t>(i.e., Partner program revenue sharing)</t>
  </si>
  <si>
    <t>_4_9</t>
  </si>
  <si>
    <t>_4_10</t>
  </si>
  <si>
    <t>_4_11</t>
  </si>
  <si>
    <t>_5_1</t>
  </si>
  <si>
    <t>(i.e., Stars)</t>
  </si>
  <si>
    <t>_5_2</t>
  </si>
  <si>
    <t>_5_3</t>
  </si>
  <si>
    <t>(i.e., Bonuses Program)</t>
  </si>
  <si>
    <t>_5_4</t>
  </si>
  <si>
    <t>(i.e., any earning while live streaming)</t>
  </si>
  <si>
    <t>_5_5</t>
  </si>
  <si>
    <t>_5_6</t>
  </si>
  <si>
    <t>_5_7</t>
  </si>
  <si>
    <t>(i.e., Branded Content, creator agencies, influencer marketing platforms, direct from brands)</t>
  </si>
  <si>
    <t>_5_8</t>
  </si>
  <si>
    <t>(i.e., In-stream ads)</t>
  </si>
  <si>
    <t>_5_9</t>
  </si>
  <si>
    <t>_5_10</t>
  </si>
  <si>
    <t>_5_11</t>
  </si>
  <si>
    <t>_6_1</t>
  </si>
  <si>
    <t>(i.e., Bits, Donations)</t>
  </si>
  <si>
    <t>_6_2</t>
  </si>
  <si>
    <t>(i.e., Paid Subscriptions, Prime Gaming)</t>
  </si>
  <si>
    <t>_6_3</t>
  </si>
  <si>
    <t>_6_4</t>
  </si>
  <si>
    <t>_6_5</t>
  </si>
  <si>
    <t>_6_6</t>
  </si>
  <si>
    <t>_6_7</t>
  </si>
  <si>
    <t>(i.e., creator agencies, influencer marketing platforms, direct from brands)</t>
  </si>
  <si>
    <t>_6_8</t>
  </si>
  <si>
    <t>(i.e., Creator Ads Revenue Sharing)</t>
  </si>
  <si>
    <t>_6_9</t>
  </si>
  <si>
    <t>_6_10</t>
  </si>
  <si>
    <t>_6_11</t>
  </si>
  <si>
    <t>_7_1</t>
  </si>
  <si>
    <t>(i.e., Donations)</t>
  </si>
  <si>
    <t>_7_2</t>
  </si>
  <si>
    <t>_7_3</t>
  </si>
  <si>
    <t>_7_4</t>
  </si>
  <si>
    <t>_7_5</t>
  </si>
  <si>
    <t>_7_6</t>
  </si>
  <si>
    <t>_7_7</t>
  </si>
  <si>
    <t>_7_8</t>
  </si>
  <si>
    <t>(i.e., proceeds from ads shown in posts/videos)</t>
  </si>
  <si>
    <t>_7_9</t>
  </si>
  <si>
    <t>_7_10</t>
  </si>
  <si>
    <t>_7_11</t>
  </si>
  <si>
    <t>(i.e., Charge per creation)</t>
  </si>
  <si>
    <t>Very interested</t>
  </si>
  <si>
    <t>Somewhat interested</t>
  </si>
  <si>
    <t>Neutral</t>
  </si>
  <si>
    <t>Somewhat uninterested</t>
  </si>
  <si>
    <t>Very uninterested</t>
  </si>
  <si>
    <t>_animal</t>
  </si>
  <si>
    <t>Animals (incl. Pets, Farm Animals, Other Animals)</t>
  </si>
  <si>
    <t>_comics</t>
  </si>
  <si>
    <t>Anime, Comics, &amp; Cosplay</t>
  </si>
  <si>
    <t>_art</t>
  </si>
  <si>
    <t>Art</t>
  </si>
  <si>
    <t>_automotive</t>
  </si>
  <si>
    <t>Auto &amp; Vehicle</t>
  </si>
  <si>
    <t>_beauty</t>
  </si>
  <si>
    <t>Beauty &amp; Care &amp; Fashion (incl. Hair, Nail Art, Outfits, etc.)</t>
  </si>
  <si>
    <t>_comedy</t>
  </si>
  <si>
    <t>Comedy (incl. Pranks, Fails, Scripted Comedy, etc.)</t>
  </si>
  <si>
    <t>_diy</t>
  </si>
  <si>
    <t>DIY &amp; Handicrafts</t>
  </si>
  <si>
    <t>_education</t>
  </si>
  <si>
    <t>Education (Science, Business &amp; Finance)</t>
  </si>
  <si>
    <t>_family</t>
  </si>
  <si>
    <t>Family (incl. Babies)</t>
  </si>
  <si>
    <t>_fitness</t>
  </si>
  <si>
    <t>Fitness &amp; Health</t>
  </si>
  <si>
    <t>_games</t>
  </si>
  <si>
    <t>Games (including Video games, board games, etc.)</t>
  </si>
  <si>
    <t>_music</t>
  </si>
  <si>
    <t>Music</t>
  </si>
  <si>
    <t>_outdoor</t>
  </si>
  <si>
    <t>Outdoor Activities</t>
  </si>
  <si>
    <t>_relationship</t>
  </si>
  <si>
    <t>Relationships</t>
  </si>
  <si>
    <t>_sing</t>
  </si>
  <si>
    <t>Singing &amp; Dancing</t>
  </si>
  <si>
    <t>_tech</t>
  </si>
  <si>
    <t>Technology</t>
  </si>
  <si>
    <t>_travel</t>
  </si>
  <si>
    <t>Travel</t>
  </si>
  <si>
    <t>Full-time creator</t>
  </si>
  <si>
    <t>Part-time creator with no intention of becoming a full-time creator</t>
  </si>
  <si>
    <t>Part time creator with the intention of becoming a full-time creator</t>
  </si>
  <si>
    <t>I consider content creation a hobby unrelated to my career/living</t>
  </si>
  <si>
    <t>Cisgender male</t>
  </si>
  <si>
    <t>Cisgender female</t>
  </si>
  <si>
    <t>Transgender male</t>
  </si>
  <si>
    <t>Transgender female</t>
  </si>
  <si>
    <t>Nonbinary</t>
  </si>
  <si>
    <t>Gender non-conforming</t>
  </si>
  <si>
    <t>Prefer not to answer</t>
  </si>
  <si>
    <t>AWARENESSUSAGE</t>
  </si>
  <si>
    <t>How often do you use each of the following social/video platforms to create/post original content for public consumption?</t>
  </si>
  <si>
    <t>Loop</t>
  </si>
  <si>
    <t>Categorical Loop</t>
  </si>
  <si>
    <t>Slice</t>
  </si>
  <si>
    <t>Daily</t>
  </si>
  <si>
    <t>Weekly</t>
  </si>
  <si>
    <t>At least once in the past 2 weeks</t>
  </si>
  <si>
    <t>Monthly</t>
  </si>
  <si>
    <t>At least once in the past 3 months</t>
  </si>
  <si>
    <t>At least once in the past 6 months</t>
  </si>
  <si>
    <t>Yearly</t>
  </si>
  <si>
    <t>Less than once a year</t>
  </si>
  <si>
    <t>I`ve heard of this platform but have never used to create/post</t>
  </si>
  <si>
    <t>I`ve never heard of this platform and have never used to create/post</t>
  </si>
  <si>
    <t>hvUSAGEFLAG_NEW</t>
  </si>
  <si>
    <t>CREATE HIDDEN VARIABLE TO CAPTURE USAGE FREQUENCY BY PLATFORM</t>
  </si>
  <si>
    <t>hvAWAREFLAG_NEW</t>
  </si>
  <si>
    <t>HIDDEN VARIABLE TO CAPTURE AWARENESS BY PLATFORM</t>
  </si>
  <si>
    <t>UNAIDEDAWARENESS</t>
  </si>
  <si>
    <t>Are there any other social/video platforms that you currently use to create/post original content on for public consumption?</t>
  </si>
  <si>
    <t>FOLLOWERSPLATFORM</t>
  </si>
  <si>
    <t>How many followers/subscribers/fans do you currently have on each of the following social/video platforms?</t>
  </si>
  <si>
    <t>Brand not asked</t>
  </si>
  <si>
    <t>COMMERCEPLATFORMS</t>
  </si>
  <si>
    <t>How often do you use each of the following social commerce platforms/features to post shoppable content?</t>
  </si>
  <si>
    <t>TikTok Shop</t>
  </si>
  <si>
    <t>Instagram Shopping</t>
  </si>
  <si>
    <t>YouTube Brand Connect</t>
  </si>
  <si>
    <t>Amazon Influencer Program</t>
  </si>
  <si>
    <t>Shopify Collabs</t>
  </si>
  <si>
    <t>I`ve heard of this platform but have never used to post shoppable content</t>
  </si>
  <si>
    <t>I`ve never heard of this platform and have never used to post shoppable content</t>
  </si>
  <si>
    <t>hvCommerceCreators_New</t>
  </si>
  <si>
    <t>CONSIDERATION</t>
  </si>
  <si>
    <t>How likely are you to use each of the following social commerce platforms/features to post shoppable content in the next 6 months?</t>
  </si>
  <si>
    <t>Very likely</t>
  </si>
  <si>
    <t>Somewhat likely</t>
  </si>
  <si>
    <t>I`m not sure</t>
  </si>
  <si>
    <t>Unlikely</t>
  </si>
  <si>
    <t>Very unlikely</t>
  </si>
  <si>
    <t>hvCommerceLikelihood_New</t>
  </si>
  <si>
    <t>TRUST</t>
  </si>
  <si>
    <t>When it comes to posting shoppable content, how much do you trust each of the following social commerce platforms/features?</t>
  </si>
  <si>
    <t>Strongly distrust</t>
  </si>
  <si>
    <t>Strongly trust</t>
  </si>
  <si>
    <t>RELEVANCE</t>
  </si>
  <si>
    <t>When it comes to posting shoppable content, how relevant is each social commerce platform/feature to you?</t>
  </si>
  <si>
    <t>Reverse Order Categorical scale</t>
  </si>
  <si>
    <t>Not at all relevant</t>
  </si>
  <si>
    <t>Extremely relevant</t>
  </si>
  <si>
    <t>SATISFACTION</t>
  </si>
  <si>
    <t>When it comes to posting shoppable content, how satisfied or dissatisfied are you with your experience with each social commerce platform/feature?</t>
  </si>
  <si>
    <t>Very dissatisfied</t>
  </si>
  <si>
    <t>Very satisfied</t>
  </si>
  <si>
    <t>NPS</t>
  </si>
  <si>
    <t>When it comes to posting shoppable content, how likely are you to recommend each of the following social commerce platforms/features to other creators?</t>
  </si>
  <si>
    <t>0 - Not at all likely</t>
  </si>
  <si>
    <t>10 - Extremely likely</t>
  </si>
  <si>
    <t>PERCEPTIONS</t>
  </si>
  <si>
    <t>As a creator, what social commerce platforms/features do you associate with each of the following statements? Select all that apply.</t>
  </si>
  <si>
    <t>Is easy to post shoppable content on</t>
  </si>
  <si>
    <t>Makes it easy for my content/products/services to be discovered</t>
  </si>
  <si>
    <t>Helps me understand why my shoppable content performs the way it does</t>
  </si>
  <si>
    <t>Is constantly innovating and creating new tools/features for creators</t>
  </si>
  <si>
    <t>Allows me to build a relationship with my followers/subscribers/fans</t>
  </si>
  <si>
    <t>Creators at every level can earn money</t>
  </si>
  <si>
    <t>Provides me with the tools to understand how my shoppable posts are performing</t>
  </si>
  <si>
    <t>Provides me with the tools to understand who my followers/subscribers/fans are</t>
  </si>
  <si>
    <t>Provides me with effective account support when needed</t>
  </si>
  <si>
    <t>Encourages high quality content from creators</t>
  </si>
  <si>
    <t>Makes me excited to post shoppable content</t>
  </si>
  <si>
    <t>Compensation from the platform is consistent</t>
  </si>
  <si>
    <t>It is highly recommended by my peers for a positive monetization experience</t>
  </si>
  <si>
    <t>Provides me with opportunities to collaborate with high-quality brands</t>
  </si>
  <si>
    <t>Offers sustainable ways for me to make money</t>
  </si>
  <si>
    <t>Ensures that my payouts are worth the effort I put in</t>
  </si>
  <si>
    <t>Rewards me more as my audience grows</t>
  </si>
  <si>
    <t>M10NBARRIERS</t>
  </si>
  <si>
    <t>For each of the following social commerce platforms/features, have you experienced any of the following challenges when monetizing shoppable content? Select all that apply</t>
  </si>
  <si>
    <t>Unsure of all the ways I can monetize</t>
  </si>
  <si>
    <t>Changing platform policies make it difficult to understand the best ways to monetize</t>
  </si>
  <si>
    <t>Not able to build my audience fast enough</t>
  </si>
  <si>
    <t>Brands I can partner with on the platform are low-quality</t>
  </si>
  <si>
    <t>I feel like I need to create or post too often to reap the reward</t>
  </si>
  <si>
    <t>It is difficult to get direct support from the platform when I need it</t>
  </si>
  <si>
    <t>I don`t understand the platform`s content review rules/guidelines</t>
  </si>
  <si>
    <t>Not eligible to earn money</t>
  </si>
  <si>
    <t>Unreliable/inconsistent income</t>
  </si>
  <si>
    <t>Payouts are low/not worth the effort for what I put in</t>
  </si>
  <si>
    <t>Lack of transparency about how the platform`s algorithm recommends my shoppable content</t>
  </si>
  <si>
    <t>Inconsistent views or engagement on the shoppable content I post</t>
  </si>
  <si>
    <t>My followers/subscribers/fans don`t see my shoppable content</t>
  </si>
  <si>
    <t>My followers/subscribers/fans dislike/have complained about my shoppable content</t>
  </si>
  <si>
    <t>Doesn`t fit my style of content</t>
  </si>
  <si>
    <t>The commission structure is confusing</t>
  </si>
  <si>
    <t>I don`t trust the sellers on this platform</t>
  </si>
  <si>
    <t>I don`t feel safe selling on this platform</t>
  </si>
  <si>
    <t>I haven`t experienced any challenges monetizing on this platform</t>
  </si>
  <si>
    <t>M10BARRIERREASONS</t>
  </si>
  <si>
    <t>You mentioned that your followers/subscribers/fans disliked or complained about your shoppable content. What were the most common issues that they`ve cited?</t>
  </si>
  <si>
    <t>The products I am selling are not relevant to them</t>
  </si>
  <si>
    <t>The product quality was not as described</t>
  </si>
  <si>
    <t>Product arrived damaged</t>
  </si>
  <si>
    <t>Product arrived much later than the estimated delivery date</t>
  </si>
  <si>
    <t>There were hidden fees that were not stated beforehand</t>
  </si>
  <si>
    <t>My content felt unauthentic</t>
  </si>
  <si>
    <t>I was selling the same products as everyone else</t>
  </si>
  <si>
    <t>I don`t recall</t>
  </si>
  <si>
    <t>MONETIZATIONRANK</t>
  </si>
  <si>
    <t>You previously mention that you have earned money for creating/posting original content on social or video platforms. Please rank the ways you prefer to monetize, with 1 being your most preferred, 2 being your second most preferred, and so on.</t>
  </si>
  <si>
    <t>Long</t>
  </si>
  <si>
    <t>Loop_TOOLSCOMPS_NEW</t>
  </si>
  <si>
    <t>Tips/gifting</t>
  </si>
  <si>
    <t>Subscriptions</t>
  </si>
  <si>
    <t>Platform funds</t>
  </si>
  <si>
    <t>Live streaming</t>
  </si>
  <si>
    <t>Product or merchandise sales</t>
  </si>
  <si>
    <t>Affiliate links/sales</t>
  </si>
  <si>
    <t>Brand deals</t>
  </si>
  <si>
    <t>Ad revenue sharing</t>
  </si>
  <si>
    <t>In person events</t>
  </si>
  <si>
    <t>Services</t>
  </si>
  <si>
    <t>Paid content</t>
  </si>
  <si>
    <t>Loop_monetizationPeceptTT</t>
  </si>
  <si>
    <t>Loop_monetizationPeceptTT[..].monetizationPeceptTT</t>
  </si>
  <si>
    <t>When thinking about the tools you use to monetize on TikTok, please select the statements that apply.</t>
  </si>
  <si>
    <t>Easy to use</t>
  </si>
  <si>
    <t>Payout potential is consistent/predictable</t>
  </si>
  <si>
    <t>A reliable way to monetize</t>
  </si>
  <si>
    <t>Makes it easy for my followers/subscribers/fans to support me</t>
  </si>
  <si>
    <t>Receive support from TikTok on how to best use</t>
  </si>
  <si>
    <t>Make a substantial income</t>
  </si>
  <si>
    <t>Payout matches the level of effort/is what I expect</t>
  </si>
  <si>
    <t>The opportunities I see are from high-quality brands</t>
  </si>
  <si>
    <t>It is easy to collaborate with the brands I work with on the platform</t>
  </si>
  <si>
    <t>I trust that I will be paid on time</t>
  </si>
  <si>
    <t>I am not worried about unfair or over-moderation of my content</t>
  </si>
  <si>
    <t>Features are too complex</t>
  </si>
  <si>
    <t>TTS_CAMPAIGN_PERCEP</t>
  </si>
  <si>
    <t>Platform Campaigns (Black Friday &amp; Cyber Monday, Love at First Find) – Large-scale shopping events designed to drive platform-wide engagement and sales.</t>
  </si>
  <si>
    <t>Social Impact Campaigns (Shop Latin Owned, Shop Black Owned) – Campaigns highlighting and supporting businesses from underrepresented communities.</t>
  </si>
  <si>
    <t>Super Brand Days (Super Brand Days, TikTok Shop Brand Select) – Exclusive promotions featuring top brands and self-managed sellers.</t>
  </si>
  <si>
    <t>Other campaigns: High-Potential Seller Campaigns (ex: January Treasure Finds) – Focused on emerging sellers and trending products, Single Category Campaigns (ex: 2025 Fashion Lookbook) – Curated showcases highlighting trends within a specific category, Cross-Category Campaigns (ex: The Big Game) – Themed shopping moments spanning multiple product categories.</t>
  </si>
  <si>
    <t>Most of my peers have created content for this campaign</t>
  </si>
  <si>
    <t>I`d like to see more campaigns like this one</t>
  </si>
  <si>
    <t>The incentives offered for the campaign encouraged me to participate</t>
  </si>
  <si>
    <t>This campaign is easy to participate in</t>
  </si>
  <si>
    <t>This campaign effectively brings awareness to social causes</t>
  </si>
  <si>
    <t>I found trendy products through this campaign</t>
  </si>
  <si>
    <t>This campaign inspires me to create engaging content</t>
  </si>
  <si>
    <t>Content from this campaign gets good engagement</t>
  </si>
  <si>
    <t>TTS_CAMPAIGN_POSTPERCEP</t>
  </si>
  <si>
    <t>What was your experience after participating in the following campaigns? Select all that apply.</t>
  </si>
  <si>
    <t>I saw an increase in traffic to my page</t>
  </si>
  <si>
    <t>I felt encouraged to try new products</t>
  </si>
  <si>
    <t>There was a boost in my commissions</t>
  </si>
  <si>
    <t>I gained more followers/subscribers</t>
  </si>
  <si>
    <t>I noticed followers/subscribers were interacting with my content more</t>
  </si>
  <si>
    <t>I look out for more campaigns to participate in the future</t>
  </si>
  <si>
    <t>I received opportunities to partner with high-quality brands</t>
  </si>
  <si>
    <t>The rewards were worth the effort I put in</t>
  </si>
  <si>
    <t>TTS_FEATURES_USAGE</t>
  </si>
  <si>
    <t>How often do you use each of the following shoppable video tools TikTok Shop?</t>
  </si>
  <si>
    <t>Creator Center: centralized hub where creators can browse the product marketplace, apply for free samples, and receive direct invitations from sellers to promote specific products.</t>
  </si>
  <si>
    <t>LIVE Shopping: Creators can add products to their LIVE shopping cart, pin them during broadcasts, and promote them in real time while engaging with their audience.</t>
  </si>
  <si>
    <t>Creator Tasks: A gamified system that rewards creators with bonuses, rewards, or exclusive opportunities when they complete designated promotional tasks.</t>
  </si>
  <si>
    <t>Free Samples Program: Creators can apply for free samples of products they`re interested in promoting, provided they meet platform requirements.</t>
  </si>
  <si>
    <t>TTS_FEATURES_SOA_RANKED</t>
  </si>
  <si>
    <t>Which feature did you find most useful or impactful in learning about the various shoppable video tools on TikTok Shop? Please rank with 1 being the most impactful, 2 being the second most impactful and so on.</t>
  </si>
  <si>
    <t>TTS_FEATURES_SAT</t>
  </si>
  <si>
    <t>How satisfied are you with each of the following shoppable video tools on TikTok Shop?</t>
  </si>
  <si>
    <t>TAGLINE_USAGE_IMPACT</t>
  </si>
  <si>
    <t>Based on each tagline, how likely are you to use TikTok Shop?</t>
  </si>
  <si>
    <t>Loop_TAGLINE_PERCEPTIONS</t>
  </si>
  <si>
    <t>Loop_TAGLINE_PERCEPTIONS[..].TAGLINE_PERCEPTIONS</t>
  </si>
  <si>
    <t>Based on the tagline ..., how much do you agree or disagree with each of the following statements?</t>
  </si>
  <si>
    <t>I can trust this platform</t>
  </si>
  <si>
    <t>This platform is relevant to me</t>
  </si>
  <si>
    <t>I perceive this platform as high quality</t>
  </si>
  <si>
    <t>This platform meets my needs</t>
  </si>
  <si>
    <t>This platform stands out from other social commerce platforms</t>
  </si>
  <si>
    <t>This platform is innovative</t>
  </si>
  <si>
    <t>I`m excited to use this platform</t>
  </si>
  <si>
    <t>Strongly agree</t>
  </si>
  <si>
    <t>Somewhat agree</t>
  </si>
  <si>
    <t>Neither agree nor disagree</t>
  </si>
  <si>
    <t>Somewhat disagree</t>
  </si>
  <si>
    <t>Strongly disagree</t>
  </si>
  <si>
    <t>TAGLINE_FAVORITE_NEW</t>
  </si>
  <si>
    <t>Please rank each tagline based on your preference, with 1 being your most preferred, 2 being your second most preferred, and so on.</t>
  </si>
  <si>
    <t>List_MONETIZATION</t>
  </si>
  <si>
    <t>Tips/gifting (i.e., donations, gifts, tips)</t>
  </si>
  <si>
    <t>Subscriptions (i.e., recurring paid access to content)</t>
  </si>
  <si>
    <t>Platform funds (i.e., paid directly by the platform)</t>
  </si>
  <si>
    <t>Live streaming (i.e., any earning while live streaming)</t>
  </si>
  <si>
    <t>Product or merchandise sales (i.e., product/merch sales made on the platform)</t>
  </si>
  <si>
    <t>Affiliate links/sales (i.e., commission from products links/codes)</t>
  </si>
  <si>
    <t>Brand deals (i.e., creator agencies, influencer marketing platforms, direct from brands)</t>
  </si>
  <si>
    <t>Ad revenue sharing (i.e., proceeds from ads shown in posts/videos)</t>
  </si>
  <si>
    <t>In person events (i.e., appearances, meet and greets, etc.)</t>
  </si>
  <si>
    <t>Services (i.e., coaching, classes, events, etc.)</t>
  </si>
  <si>
    <t>Paid content (i.e., premium content)</t>
  </si>
  <si>
    <t>List_aware</t>
  </si>
  <si>
    <t>X (Formerly known as Twitter)</t>
  </si>
  <si>
    <t>BeReal</t>
  </si>
  <si>
    <t>Vimeo</t>
  </si>
  <si>
    <t>Pinterest</t>
  </si>
  <si>
    <t>Spotify</t>
  </si>
  <si>
    <t>Threads</t>
  </si>
  <si>
    <t>Amazon Video/Amazon Live</t>
  </si>
  <si>
    <t>List_aware_names</t>
  </si>
  <si>
    <t>List_PLATEFORM</t>
  </si>
  <si>
    <t>List_platforms_new</t>
  </si>
  <si>
    <t>List_TOOLSCOMP</t>
  </si>
  <si>
    <t>List_SOA</t>
  </si>
  <si>
    <t>In-app exploration</t>
  </si>
  <si>
    <t>In-app system notifications</t>
  </si>
  <si>
    <t>Email</t>
  </si>
  <si>
    <t>Discord</t>
  </si>
  <si>
    <t>Videos from TikTok Shop (@TikTokshopcreators.us)</t>
  </si>
  <si>
    <t>Webinars</t>
  </si>
  <si>
    <t>Events</t>
  </si>
  <si>
    <t>Content from other creators</t>
  </si>
  <si>
    <t>Private creator groups</t>
  </si>
  <si>
    <t>TasteMakers program</t>
  </si>
  <si>
    <t>STAR program</t>
  </si>
  <si>
    <t>LIST_TAGLINE</t>
  </si>
  <si>
    <t>Inspire from post to purchase</t>
  </si>
  <si>
    <t>Spark inspiration from post to purchase</t>
  </si>
  <si>
    <t>Where your POV inspires purchase</t>
  </si>
  <si>
    <t>HHCMPHIDDENSList</t>
  </si>
  <si>
    <t>_0</t>
  </si>
  <si>
    <t>Less than 1 month old</t>
  </si>
  <si>
    <t>1 month old</t>
  </si>
  <si>
    <t>2 months old</t>
  </si>
  <si>
    <t>3 months old</t>
  </si>
  <si>
    <t>4 months old</t>
  </si>
  <si>
    <t>5 months old</t>
  </si>
  <si>
    <t>6 months old</t>
  </si>
  <si>
    <t>7 months old</t>
  </si>
  <si>
    <t>8 months old</t>
  </si>
  <si>
    <t>9 months old</t>
  </si>
  <si>
    <t>10 months old</t>
  </si>
  <si>
    <t>11 months old</t>
  </si>
  <si>
    <t>12 months old</t>
  </si>
  <si>
    <t>13 months old</t>
  </si>
  <si>
    <t>14 months old</t>
  </si>
  <si>
    <t>15 months old</t>
  </si>
  <si>
    <t>16 months old</t>
  </si>
  <si>
    <t>17 months old</t>
  </si>
  <si>
    <t>18 months old</t>
  </si>
  <si>
    <t>19 months old</t>
  </si>
  <si>
    <t>20 months old</t>
  </si>
  <si>
    <t>21 months old</t>
  </si>
  <si>
    <t>22 months old</t>
  </si>
  <si>
    <t>23 months old</t>
  </si>
  <si>
    <t>24 months old</t>
  </si>
  <si>
    <t>25 months old</t>
  </si>
  <si>
    <t>26 months old</t>
  </si>
  <si>
    <t>27 months old</t>
  </si>
  <si>
    <t>28 months old</t>
  </si>
  <si>
    <t>29 months old</t>
  </si>
  <si>
    <t>30 months old</t>
  </si>
  <si>
    <t>31 months old</t>
  </si>
  <si>
    <t>32 months old</t>
  </si>
  <si>
    <t>33 months old</t>
  </si>
  <si>
    <t>34 months old</t>
  </si>
  <si>
    <t>35 months old</t>
  </si>
  <si>
    <t>36 months old</t>
  </si>
  <si>
    <t>37 months old</t>
  </si>
  <si>
    <t>38 months old</t>
  </si>
  <si>
    <t>39 months old</t>
  </si>
  <si>
    <t>40 months old</t>
  </si>
  <si>
    <t>41 months old</t>
  </si>
  <si>
    <t>42 months old</t>
  </si>
  <si>
    <t>43 months old</t>
  </si>
  <si>
    <t>44 months old</t>
  </si>
  <si>
    <t>45 months old</t>
  </si>
  <si>
    <t>46 months old</t>
  </si>
  <si>
    <t>47 months old</t>
  </si>
  <si>
    <t>48 months old</t>
  </si>
  <si>
    <t>49 months to 59 months</t>
  </si>
  <si>
    <t>5 years old</t>
  </si>
  <si>
    <t>6 years old</t>
  </si>
  <si>
    <t>7 years old</t>
  </si>
  <si>
    <t>8 years old</t>
  </si>
  <si>
    <t>9 years old</t>
  </si>
  <si>
    <t>10 years old</t>
  </si>
  <si>
    <t>11 years old</t>
  </si>
  <si>
    <t>12 years old</t>
  </si>
  <si>
    <t>13 years old</t>
  </si>
  <si>
    <t>14 years old</t>
  </si>
  <si>
    <t>15 years old</t>
  </si>
  <si>
    <t>16 years old</t>
  </si>
  <si>
    <t>17 years old</t>
  </si>
  <si>
    <t>18 years old</t>
  </si>
  <si>
    <t>19 years old</t>
  </si>
  <si>
    <t>20 years old</t>
  </si>
  <si>
    <t>Copy this page for each banner needed</t>
  </si>
  <si>
    <t xml:space="preserve">Banner Name: </t>
  </si>
  <si>
    <t>Banner Specifications</t>
  </si>
  <si>
    <t>RA: If Sequential Monadic, please indicate in the box below which questions to run by this banner (should only be those questions asked for each product)</t>
  </si>
  <si>
    <t>RA Note: Separate banner needs to be spec'd out for questions not asked for each product/concept (screening questions, preference, demos, etc)</t>
  </si>
  <si>
    <t>DP Note:</t>
  </si>
  <si>
    <t>Set up banner as a grid if box is checked</t>
  </si>
  <si>
    <t>Depending on number of stat levels &amp; number of banner points, more than one set of tables may be needed.</t>
  </si>
  <si>
    <t>A revision to iQuote spec may be required.</t>
  </si>
  <si>
    <t xml:space="preserve">Banner Points to Stat Test: </t>
  </si>
  <si>
    <t xml:space="preserve">Stat Levels needed (max 2):  </t>
  </si>
  <si>
    <t>Add Headers Here:</t>
  </si>
  <si>
    <t>A</t>
  </si>
  <si>
    <t>B</t>
  </si>
  <si>
    <t>C</t>
  </si>
  <si>
    <t>D</t>
  </si>
  <si>
    <t>E</t>
  </si>
  <si>
    <t>F</t>
  </si>
  <si>
    <t>G</t>
  </si>
  <si>
    <t>H</t>
  </si>
  <si>
    <t>I</t>
  </si>
  <si>
    <t>J</t>
  </si>
  <si>
    <t>K</t>
  </si>
  <si>
    <t>L</t>
  </si>
  <si>
    <t>M</t>
  </si>
  <si>
    <t>N</t>
  </si>
  <si>
    <t>O</t>
  </si>
  <si>
    <t>P</t>
  </si>
  <si>
    <t>Q</t>
  </si>
  <si>
    <t>R</t>
  </si>
  <si>
    <t>S</t>
  </si>
  <si>
    <t>T</t>
  </si>
  <si>
    <t>U</t>
  </si>
  <si>
    <t>V</t>
  </si>
  <si>
    <t>W</t>
  </si>
  <si>
    <t>Z</t>
  </si>
  <si>
    <t>Sample Group:</t>
  </si>
  <si>
    <t>Definition:</t>
  </si>
  <si>
    <t>If Applicable:</t>
  </si>
  <si>
    <t>Filter:</t>
  </si>
  <si>
    <t>FEEDBACK &amp; QUERY FORM</t>
  </si>
  <si>
    <t>Completed by Client Service</t>
  </si>
  <si>
    <t>Completed by DP</t>
  </si>
  <si>
    <t>No.</t>
  </si>
  <si>
    <t>Date</t>
  </si>
  <si>
    <t>Delivery type (Tables, SPSS, BVC, etc.)</t>
  </si>
  <si>
    <t>Question ID/Table Number</t>
  </si>
  <si>
    <t>Feedback / Query / Issue Details</t>
  </si>
  <si>
    <t>Feedback type</t>
  </si>
  <si>
    <t>Priority</t>
  </si>
  <si>
    <t>Status</t>
  </si>
  <si>
    <t>Notes</t>
  </si>
  <si>
    <t>WEIGHTING</t>
  </si>
  <si>
    <t>'MAIN MENU'!A1</t>
  </si>
  <si>
    <t>Note: WEIGHTS MUST SUM TO 100%</t>
  </si>
  <si>
    <t>Universe (Default = Total Sample)</t>
  </si>
  <si>
    <t>Total Sample</t>
  </si>
  <si>
    <t>For ASI studies: Interlock (Default = No)</t>
  </si>
  <si>
    <t>EXAMPLE WEIGHTING DIMENSION</t>
  </si>
  <si>
    <t>Weighting Target</t>
  </si>
  <si>
    <t>Defintion of weight target</t>
  </si>
  <si>
    <t>Desired Target 
Percentage</t>
  </si>
  <si>
    <t>Gender - Male</t>
  </si>
  <si>
    <t>Q1 = code 1</t>
  </si>
  <si>
    <t>Gender - Female</t>
  </si>
  <si>
    <t>Q1 = code 2</t>
  </si>
  <si>
    <t>Sum</t>
  </si>
  <si>
    <t>Weight Dimension #1</t>
  </si>
  <si>
    <t>Weight Dimension #2</t>
  </si>
  <si>
    <t>Weight Dimension #3</t>
  </si>
  <si>
    <t>Weight Dimension #4</t>
  </si>
  <si>
    <t>GENERAL DEFINITIONS</t>
  </si>
  <si>
    <t>Topline</t>
  </si>
  <si>
    <t>A subset (roughly 10-12 key measures) of full tables requested post-field to give the Client an early look at data.   Timing needs to be communicated via the DP Schedule and costs included in iQuote (Discuss specifics with your DP Manager).</t>
  </si>
  <si>
    <t>Similar responses to open-ended questions grouped together so that they can be analyzed quantitatively</t>
  </si>
  <si>
    <t>Verbatim</t>
  </si>
  <si>
    <t>The actual written responses to other specifies and open-ended questions</t>
  </si>
  <si>
    <t>Filter/Reduced Base</t>
  </si>
  <si>
    <t>To see the results of a subgroup of respondents (e.g. only those who saw the question, or a specific subgroup of interest) instead of all respondents to the survey</t>
  </si>
  <si>
    <t>Balancing line</t>
  </si>
  <si>
    <t>Contains respondents who do not otherwise have a response on the table.  May be because they were not asked a question due to a skip pattern or they just didn’t give a response to the question.</t>
  </si>
  <si>
    <t>Sort/Rank</t>
  </si>
  <si>
    <t>Sort the order of results by the proportion of respondents selecting each option instead of keeping the order from the survey document</t>
  </si>
  <si>
    <t>JAR</t>
  </si>
  <si>
    <t>Just About Right tables - Typically 3 pts scale (ex. Too Sweet/Just about right/Not Sweet at all).  Factors for means are -1/0/1.  Or could be 5 pts scale with factors for mean -2/-1/0/1/2.</t>
  </si>
  <si>
    <t>Mean (incl 0 /none)</t>
  </si>
  <si>
    <t>Calculate the mean score including those who selected none or typed in 0 (e.g. the average of 9,10,9,10,0 is 7.6)</t>
  </si>
  <si>
    <t>Mean (excl 0 /none)</t>
  </si>
  <si>
    <t>Calculate the mean score removing those who selected none or typed in 0 (e.g. the average of 9,10,9,10,0 is 9.5)</t>
  </si>
  <si>
    <t>Std Dev</t>
  </si>
  <si>
    <t xml:space="preserve">Standard deviation, or the extent of deviation for a group as a whole, is typically applied to numeric questions and sometimes applied to categorical questions that have associated factors.  For example, Std Dev is well suited for numeric questions with a wide range of responses, e.g. “How much did you spend on your last vacation?”.  A large Std Dev might indicate you have outliers in the data, persons who have excessively high values for the question, which might skew the results.  </t>
  </si>
  <si>
    <t>Top Box</t>
  </si>
  <si>
    <t>The most positive rating available on the scale (e.g. 10 on a 10 point scale)</t>
  </si>
  <si>
    <t>Top 2 Box</t>
  </si>
  <si>
    <t>The top two most positive ratings available on the scale (e.g. 9-10 on a 10 point scale)</t>
  </si>
  <si>
    <t>Top 3 Box</t>
  </si>
  <si>
    <t>The top three most positive ratings available on the scale (e.g. 8-10 on a 10 point scale)</t>
  </si>
  <si>
    <t>The neutral ratings available on the scale (e.g. 4-7 on a 10 point scale, 3-5 on a 7 point scale)</t>
  </si>
  <si>
    <t>Bottom Box</t>
  </si>
  <si>
    <t>The most negative rating available on the scale (e.g. 1 on a 5 point scale where 5 is the highest)</t>
  </si>
  <si>
    <t>Bottom 2 Box</t>
  </si>
  <si>
    <t>The bottom two most negative ratings available on the scale (e.g. 1 or 2 on a 5 point scale where 5 is the highest)</t>
  </si>
  <si>
    <t>Bottom 3 Box</t>
  </si>
  <si>
    <t>The bottom three most negative ratings available on the scale (e.g. 1, 2 or 3 on a 5 point scale where 5 is the highest)</t>
  </si>
  <si>
    <t>Factors for Mean</t>
  </si>
  <si>
    <t>Indicate what values to use when calculating a mean on a question with ranges - non-numeric question.</t>
  </si>
  <si>
    <t>Combining two or more responses/codes (stubs) into one code</t>
  </si>
  <si>
    <t>Bands</t>
  </si>
  <si>
    <t>Similar to nets, these are groupings for numeric/interval questions (i.e. Age 18-24, 25-34… or 1-3 times, 4-6 times, etc)</t>
  </si>
  <si>
    <t>Special instructions</t>
  </si>
  <si>
    <t>Include comments and specifications for the question at hand</t>
  </si>
  <si>
    <t>Indicate if you would like to see frequencies only, percentages only, or both, in tabulations</t>
  </si>
  <si>
    <t>Values calculated for each banner break based on the column percentages compared to the total column percentages</t>
  </si>
  <si>
    <t>Vertical percentages show the proportion of each banner group that selected that answer, horizontal percentages show the proportion of those who selected the answer who fall into the group defined by the banner description</t>
  </si>
  <si>
    <t>Number of Decimal Points to show in percentages</t>
  </si>
  <si>
    <t>Indicate number of decimal places to run for full set of tables.</t>
  </si>
  <si>
    <t xml:space="preserve">Suppress zero rows </t>
  </si>
  <si>
    <t>Individual responses/codes (stubs) to questions with no mentions are hidden in the data tables.</t>
  </si>
  <si>
    <t>Stat-Testing Confidence Interval(s)</t>
  </si>
  <si>
    <t>Specify confidence interval for statistical z-test, for example: 90% and 95%</t>
  </si>
  <si>
    <t>Grid tables / Grid banners</t>
  </si>
  <si>
    <t>Grid tables are shown as a single table for questions that are asked multiple times for different brands, scenarios or concepts.  i.e. for a series of 20 attributes that are asked for 10 brands, you could “consolidate” a summary of means table in ONE table with the 10 brands as your banner points.  (Instead of giving a summary of means for each brand or 10 tables in total).  Examples of grids are:
•	Concept/Product Banner run by product/concept ratings for sequential monadic tests
•	Category/Brand Banner run by ratings/frequency/etc. for which respondents rated multiple brands/categories.
•	Household Member Banner run by age, gender, category/brand usage of each particular HH member.
•	Agreement with Statement Question - Statements are in Banner run by Agreement Scale.</t>
  </si>
  <si>
    <t>Detailed Tables</t>
  </si>
  <si>
    <t xml:space="preserve">A single table generated for each brand / attribute / concept typically within loops.  This can explode the amount of tables in a deck quickly (e.g. a grid with 5 brands and 20 statement ratings is 5*20 or 100 tables).  These tables are allow each brand / attribute / concept to be shown against all banner breaks to analyze data among different groups and to see all scale responses for each item in one table. </t>
  </si>
  <si>
    <t>Ordinal questions</t>
  </si>
  <si>
    <t>Likert scales or rating/word scales such as Strongly Agree… Strongly Disagree</t>
  </si>
  <si>
    <t>Nominal questions</t>
  </si>
  <si>
    <t>Non-ordinal questions with no particular order to the way the responses are listed.  Can be scripted as</t>
  </si>
  <si>
    <t xml:space="preserve">     Multiple response categorical questions</t>
  </si>
  <si>
    <t>A type of nominal question such as products used, brands aware, etc.</t>
  </si>
  <si>
    <t xml:space="preserve">     Single response categorical questions</t>
  </si>
  <si>
    <t>A type of nominal question such as demographics, etc.</t>
  </si>
  <si>
    <t xml:space="preserve">     Text questions</t>
  </si>
  <si>
    <t>A type of nominal question with no structure such as open ended, other specify variables</t>
  </si>
  <si>
    <t>Interval questions</t>
  </si>
  <si>
    <t>Quantity questions (e.g. How many units do you usually purchase?)</t>
  </si>
  <si>
    <t>MEAN FACTORS CHEAT SHEET</t>
  </si>
  <si>
    <t>Once every 4 to 6 months (2.5)</t>
  </si>
  <si>
    <t>Once or twice a year (1.5)</t>
  </si>
  <si>
    <t>Less often than once a year (0.5)</t>
  </si>
  <si>
    <t>Never (0)</t>
  </si>
  <si>
    <t>Once a week or more often (78)</t>
  </si>
  <si>
    <t>78/20/12/5/2.5/1.5/.5/0</t>
  </si>
  <si>
    <t>Once every 2 or 3 weeks (20)</t>
  </si>
  <si>
    <t>Once a month/every 4 weeks (12)</t>
  </si>
  <si>
    <t>Once every 2 to 3 months (5)</t>
  </si>
  <si>
    <t>Less often than once a year (.5)</t>
  </si>
  <si>
    <t>Daily (365)</t>
  </si>
  <si>
    <t>260/130/52/30</t>
  </si>
  <si>
    <t>4 to 6 times per week (260)</t>
  </si>
  <si>
    <t>2 to 3 times per week (130)</t>
  </si>
  <si>
    <t>Once a week (52)</t>
  </si>
  <si>
    <t>Once every 2 to 3 weeks (30)</t>
  </si>
  <si>
    <t>Income:</t>
  </si>
  <si>
    <t>Less than $5,000 (2.5)</t>
  </si>
  <si>
    <t>2.5/7.5/12.5/17.5/22.5/27.5/32.5/37.5/42.5/47.5/52.5/57.5/62.5/67.5/72.5/77.5/85/95/112.5/137.5/175/225/275</t>
  </si>
  <si>
    <t>$5,000-$9,999 (7.5)</t>
  </si>
  <si>
    <t>$10,000-$14,999 (12.5)</t>
  </si>
  <si>
    <t>$15,000-$19,999 (17.5)</t>
  </si>
  <si>
    <t>$20,000-$24,999 (22.5)</t>
  </si>
  <si>
    <t>$25,000-$29,999 (27.5)</t>
  </si>
  <si>
    <t>$30,000-$34,999 (32.5)</t>
  </si>
  <si>
    <t>$35,000-$39,999 (37.5)</t>
  </si>
  <si>
    <t>$40,000-$44,999 (42.5)</t>
  </si>
  <si>
    <t>$45,000-$49,999 (47.5)</t>
  </si>
  <si>
    <t>$50,000-$54,999 (52.5)</t>
  </si>
  <si>
    <t>$55,000-$59,999 (57.5)</t>
  </si>
  <si>
    <t>$60,000-$64,999 (62.5)</t>
  </si>
  <si>
    <t>$65,000-$69,999 (67.5)</t>
  </si>
  <si>
    <t>$70,000-$74,999 (72.5)</t>
  </si>
  <si>
    <t>$75,000-$79,999 (77.5)</t>
  </si>
  <si>
    <t>$80,000-$89,999 (85)</t>
  </si>
  <si>
    <t>$90,000-$99,999 (95)</t>
  </si>
  <si>
    <t>$100,000-$124,999 (112.5)</t>
  </si>
  <si>
    <t>$125,000-$149,999 (137.5)</t>
  </si>
  <si>
    <t>$150,000-$199,999 (175)</t>
  </si>
  <si>
    <t>$200,000-$249,999 (225)</t>
  </si>
  <si>
    <t>$250,000 or more (275)</t>
  </si>
  <si>
    <t>CORTEX STANDARD KIDS TABLES</t>
  </si>
  <si>
    <t>KIDS01. How many children under the age of 18 are living with you in your household? (If no persons under 18 in your household, please type 0).</t>
  </si>
  <si>
    <t>Base: Total Respondents</t>
  </si>
  <si>
    <t>Any Children Under 18 (Net)</t>
  </si>
  <si>
    <t>More than 5</t>
  </si>
  <si>
    <t>Mean including zero</t>
  </si>
  <si>
    <t>Mean excluding zero</t>
  </si>
  <si>
    <t>DKIDS01. Please provide us with the following information on the members in your household that are under 18 years old : (age, gender &amp; relationship)</t>
  </si>
  <si>
    <t>Title:</t>
  </si>
  <si>
    <t>Presence/Age of Children in HH</t>
  </si>
  <si>
    <t>Base:  Total Respondents</t>
  </si>
  <si>
    <t>Under 5 (Net)</t>
  </si>
  <si>
    <t xml:space="preserve">   0</t>
  </si>
  <si>
    <t xml:space="preserve">   1</t>
  </si>
  <si>
    <t xml:space="preserve">   2</t>
  </si>
  <si>
    <t xml:space="preserve">   3</t>
  </si>
  <si>
    <t xml:space="preserve">   4</t>
  </si>
  <si>
    <t>5--8 (Net)</t>
  </si>
  <si>
    <t xml:space="preserve">   5</t>
  </si>
  <si>
    <t xml:space="preserve">   6</t>
  </si>
  <si>
    <t xml:space="preserve">   7</t>
  </si>
  <si>
    <t xml:space="preserve">   8</t>
  </si>
  <si>
    <t>9-12 (Net)</t>
  </si>
  <si>
    <t xml:space="preserve">   9</t>
  </si>
  <si>
    <t xml:space="preserve">   10</t>
  </si>
  <si>
    <t xml:space="preserve">   11</t>
  </si>
  <si>
    <t xml:space="preserve">   12</t>
  </si>
  <si>
    <t>13-17 (Net)</t>
  </si>
  <si>
    <t xml:space="preserve">   13</t>
  </si>
  <si>
    <t xml:space="preserve">   14</t>
  </si>
  <si>
    <t xml:space="preserve">   15</t>
  </si>
  <si>
    <t xml:space="preserve">   16</t>
  </si>
  <si>
    <t xml:space="preserve">   17</t>
  </si>
  <si>
    <t>No kids in household</t>
  </si>
  <si>
    <t>*no relationship codes will be applied</t>
  </si>
  <si>
    <t>General INFO</t>
  </si>
  <si>
    <t>Online</t>
  </si>
  <si>
    <t>CATI</t>
  </si>
  <si>
    <t>Paper</t>
  </si>
  <si>
    <t>Mixed</t>
  </si>
  <si>
    <t>External</t>
  </si>
  <si>
    <t>Tracking "YN"</t>
  </si>
  <si>
    <t>Business Unit "BU"</t>
  </si>
  <si>
    <t>Marketing</t>
  </si>
  <si>
    <t>Loyalty</t>
  </si>
  <si>
    <t>Health Care</t>
  </si>
  <si>
    <t>Public Affairs</t>
  </si>
  <si>
    <t>UU</t>
  </si>
  <si>
    <t>Frequencies/Percentages "FP"</t>
  </si>
  <si>
    <t>Frequencies only</t>
  </si>
  <si>
    <t>Percentages only</t>
  </si>
  <si>
    <t>"Direction"</t>
  </si>
  <si>
    <t>Horizontal % only</t>
  </si>
  <si>
    <t>Vertical and Horizontal %</t>
  </si>
  <si>
    <t>"Service Line"</t>
  </si>
  <si>
    <t>Audience Measurement</t>
  </si>
  <si>
    <t>Brand Health Tracking</t>
  </si>
  <si>
    <t>Clinics &amp; Mobility Labs</t>
  </si>
  <si>
    <t>Corporate Reputation</t>
  </si>
  <si>
    <t>Creative Excellence</t>
  </si>
  <si>
    <t>Customer Experience</t>
  </si>
  <si>
    <t>Healthcare</t>
  </si>
  <si>
    <t>Innovation</t>
  </si>
  <si>
    <t>Ipsos MMA</t>
  </si>
  <si>
    <t>Ipsos UU</t>
  </si>
  <si>
    <t>Market Measurement</t>
  </si>
  <si>
    <t>Market Strategy &amp; Understanding</t>
  </si>
  <si>
    <t>Mystery Shopping</t>
  </si>
  <si>
    <t>Observer</t>
  </si>
  <si>
    <t xml:space="preserve">Quality Measurement </t>
  </si>
  <si>
    <t>Social Intelligence Analytics</t>
  </si>
  <si>
    <t>At the bottom</t>
  </si>
  <si>
    <t>24-097717</t>
  </si>
  <si>
    <t>TikTok Shop CBHT</t>
  </si>
  <si>
    <t>MSU</t>
  </si>
  <si>
    <t>Megan de Leon</t>
  </si>
  <si>
    <t>Include Nets: 
Daily+ = 1-2
Weekly+ = 1-3
Monthly+ = 1-4
Lapsed User = 5-8
Ever Used = 1-8
Aware = 1-9</t>
  </si>
  <si>
    <t>Respondent Gender</t>
  </si>
  <si>
    <t>Respondent Age</t>
  </si>
  <si>
    <t>Final Age Gender Quota</t>
  </si>
  <si>
    <t>You mentioned that your followers/subscribers/fans disliked or complained about your shoppable content. What were the most common issues that they've cited?</t>
  </si>
  <si>
    <t>Which of the following methods, if any, have you used to monetize on ...? Select all that apply.</t>
  </si>
  <si>
    <t xml:space="preserve">As a creator, do you associate the campaign below with any of the following statements? Select all that apply. </t>
  </si>
  <si>
    <t>Gender ID</t>
  </si>
  <si>
    <t>Summary tables only: Rank 1, Rank 2, Rank 3, Rank 1-3, Rank 1-5</t>
  </si>
  <si>
    <t>TOOLSCOMPS_NEW</t>
  </si>
  <si>
    <t>monetizationPeceptTT</t>
  </si>
  <si>
    <t xml:space="preserve">Summary tables only: Rank 1, Rank 2, Rank 3, Rank 1-3, Rank 1-5. </t>
  </si>
  <si>
    <t xml:space="preserve">One table per platform. </t>
  </si>
  <si>
    <t>Total</t>
  </si>
  <si>
    <t>TikTok Creators</t>
  </si>
  <si>
    <t>TikTok Shop Creators</t>
  </si>
  <si>
    <t>35+</t>
  </si>
  <si>
    <t>Non-TikTok Creators</t>
  </si>
  <si>
    <t>Non-TikTok Shop Creators</t>
  </si>
  <si>
    <t>Non-TTS &amp; Non-TT Creators</t>
  </si>
  <si>
    <t>All Creators</t>
  </si>
  <si>
    <t>10,000-99,999 Followers on TikTok</t>
  </si>
  <si>
    <t>100,000+ Followers on TikTok</t>
  </si>
  <si>
    <t>10,000-99,999 Followers on Largest Platform</t>
  </si>
  <si>
    <t>100,000+ Followers on Largest Platform</t>
  </si>
  <si>
    <t>TikTok Shop Consideration</t>
  </si>
  <si>
    <t>Potential Users</t>
  </si>
  <si>
    <t>Rejectors</t>
  </si>
  <si>
    <t>hvUSAGEFLAG/TikTok = 1 or 2</t>
  </si>
  <si>
    <r>
      <t xml:space="preserve">hvUSAGEFLAG/TikTok </t>
    </r>
    <r>
      <rPr>
        <sz val="10"/>
        <color rgb="FF002554"/>
        <rFont val="Aptos Narrow"/>
        <family val="2"/>
      </rPr>
      <t>≠</t>
    </r>
    <r>
      <rPr>
        <sz val="10"/>
        <color rgb="FF002554"/>
        <rFont val="Calibri"/>
        <family val="2"/>
        <scheme val="minor"/>
      </rPr>
      <t xml:space="preserve"> 1 or 2</t>
    </r>
  </si>
  <si>
    <t>hvUSAGEFLAG/TikTok ≠ 1 or 2 &amp; hvCommerceCreators ≠ 1 or 2</t>
  </si>
  <si>
    <t>hvCommerceCreators ≠ 1 or 2 &amp; hvUSAGEFLAG/TikTok = 1 or 2</t>
  </si>
  <si>
    <t>hvCommerceCreators/TikTok = 1 or 2 &amp; hvUSAGEFLAG/TikTok = 1 or 2</t>
  </si>
  <si>
    <t>QUOTAGERANGE = 18-24</t>
  </si>
  <si>
    <t>QUOTAGERANGE = 25-34</t>
  </si>
  <si>
    <t>QUOTAGERANGE = 35-49</t>
  </si>
  <si>
    <t>QUOTAGERANGE = 18-24 &amp; hvCommerceCreators/TikTok = 1 or 2 &amp; hvUSAGEFLAG/TikTok = 1 or 2</t>
  </si>
  <si>
    <t>QUOTAGERANGE = 25-34 &amp; hvCommerceCreators/TikTok = 1 or 2 &amp; hvUSAGEFLAG/TikTok = 1 or 2</t>
  </si>
  <si>
    <t>QUOTAGERANGE = 35-49 &amp; hvCommerceCreators/TikTok = 1 or 2 &amp; hvUSAGEFLAG/TikTok = 1 or 2</t>
  </si>
  <si>
    <t>QUOTAGERANGE = 18-24 &amp; hvCommerceCreators ≠ 1 or 2 &amp; hvUSAGEFLAG/TikTok = 1 or 2</t>
  </si>
  <si>
    <t>QUOTAGERANGE = 25-34 &amp; hvCommerceCreators ≠ 1 or 2 &amp; hvUSAGEFLAG/TikTok = 1 or 2</t>
  </si>
  <si>
    <t>QUOTAGERANGE = 35-49 &amp; hvCommerceCreators ≠ 1 or 2 &amp; hvUSAGEFLAG/TikTok = 1 or 2</t>
  </si>
  <si>
    <t>QUOTAGERANGE = 18-24 &amp; hvUSAGEFLAG/TikTok ≠ 1 or 2 &amp; hvCommerceCreators ≠ 1 or 2</t>
  </si>
  <si>
    <t>QUOTAGERANGE = 25-34 &amp; hvUSAGEFLAG/TikTok ≠ 1 or 2 &amp; hvCommerceCreators ≠ 1 or 2</t>
  </si>
  <si>
    <t>QUOTAGERANGE = 35-49 &amp; hvUSAGEFLAG/TikTok ≠ 1 or 2 &amp; hvCommerceCreators ≠ 1 or 2</t>
  </si>
  <si>
    <t>FOLLOWERSPLATFORM/TikTok = 3 &amp; hvCommerceCreators/TikTok = 1 or 2 &amp; hvUSAGEFLAG/TikTok = 1 or 2</t>
  </si>
  <si>
    <t>FOLLOWERSPLATFORM/TikTok = 4-7 &amp; hvCommerceCreators/TikTok = 1 or 2 &amp; hvUSAGEFLAG/TikTok = 1 or 2</t>
  </si>
  <si>
    <t>FOLLOWERSPLATFORM/TikTok = 3  &amp; hvCommerceCreators ≠ 1 or 2 &amp; hvUSAGEFLAG/TikTok = 1 or 2</t>
  </si>
  <si>
    <t>FOLLOWERSPLATFORM/TikTok = 4-7  &amp; hvCommerceCreators ≠ 1 or 2 &amp; hvUSAGEFLAG/TikTok = 1 or 2</t>
  </si>
  <si>
    <t>hvFollowerFlag = 3 &amp; hvUSAGEFLAG/TikTok ≠ 1 or 2 &amp; hvCommerceCreators ≠ 1 or 2</t>
  </si>
  <si>
    <t>hvFollowerFlag = 4-7 &amp; hvUSAGEFLAG/TikTok ≠ 1 or 2 &amp; hvCommerceCreators ≠ 1 or 2</t>
  </si>
  <si>
    <t>CONSIDERATION/TikTok Shop = 1-3</t>
  </si>
  <si>
    <t>CONSIDERATION/TikTok Shop = 4-5</t>
  </si>
  <si>
    <t>ABC, ADEF, AGHI, AJKL, AMNO, APQR, ST, UV, WX, YZ</t>
  </si>
  <si>
    <t>Shoppable Content Creators</t>
  </si>
  <si>
    <t>TikTok Shop Campaigns</t>
  </si>
  <si>
    <t>Aware</t>
  </si>
  <si>
    <t>Unaware</t>
  </si>
  <si>
    <t>TikTok Shop Tools</t>
  </si>
  <si>
    <t>Aware of TasteMakers program</t>
  </si>
  <si>
    <t>Aware of STAR program</t>
  </si>
  <si>
    <t>Perceptions of TTS</t>
  </si>
  <si>
    <t>Favorite Tagline</t>
  </si>
  <si>
    <t>hvCommerceCreators/TikTok = 1-2</t>
  </si>
  <si>
    <t>hvCommerceCreators/Instagram Shopping = 1-2</t>
  </si>
  <si>
    <t>hvCommerceCreators/YouTube Brand Connect = 1-2</t>
  </si>
  <si>
    <t>hvCommerceCreators/Shopify Collabs = 1-2</t>
  </si>
  <si>
    <t>hvCommerceCreators/Amazon Influencer Program = 1-2</t>
  </si>
  <si>
    <t>hvCommerceCreators/Twitch = 1-2</t>
  </si>
  <si>
    <t>TTS_FEATURES_AWARE = 5, 6, 7, OR 8</t>
  </si>
  <si>
    <r>
      <t xml:space="preserve">TTS_FEATURES_AWARE </t>
    </r>
    <r>
      <rPr>
        <sz val="10"/>
        <color rgb="FF002554"/>
        <rFont val="Aptos Narrow"/>
        <family val="2"/>
      </rPr>
      <t>≠</t>
    </r>
    <r>
      <rPr>
        <sz val="10"/>
        <color rgb="FF002554"/>
        <rFont val="Calibri"/>
        <family val="2"/>
        <scheme val="minor"/>
      </rPr>
      <t xml:space="preserve"> 5, 6, 7, OR 8</t>
    </r>
  </si>
  <si>
    <t xml:space="preserve">TTS_FEATURES_AWARE = 1, 2, 3, OR 4 </t>
  </si>
  <si>
    <r>
      <t xml:space="preserve">TTS_FEATURES_AWARE </t>
    </r>
    <r>
      <rPr>
        <sz val="10"/>
        <color rgb="FF002554"/>
        <rFont val="Aptos Narrow"/>
        <family val="2"/>
      </rPr>
      <t>≠</t>
    </r>
    <r>
      <rPr>
        <sz val="10"/>
        <color rgb="FF002554"/>
        <rFont val="Calibri"/>
        <family val="2"/>
        <scheme val="minor"/>
      </rPr>
      <t xml:space="preserve">  1, 2, 3, OR 4 </t>
    </r>
  </si>
  <si>
    <t>TTS_FEATURES_SOA = 11</t>
  </si>
  <si>
    <t>TTS_FEATURES_SOA = 12</t>
  </si>
  <si>
    <t>M10NBARRIERS/TikTok = 17</t>
  </si>
  <si>
    <t>PERCEPTIONS/TikTok Shop = 11</t>
  </si>
  <si>
    <t>monetizationPeceptTT/Product or Merch Sales = 12</t>
  </si>
  <si>
    <t>TAGLINE_FAVORITE/1 = 1</t>
  </si>
  <si>
    <t>TAGLINE_FAVORITE/2 = 1</t>
  </si>
  <si>
    <t>Encourages high quality content</t>
  </si>
  <si>
    <t>My followers have complained</t>
  </si>
  <si>
    <t>TAGLINE_FAVORITE/3 = 1</t>
  </si>
  <si>
    <t>EOB (Electronics, Office, Books)</t>
  </si>
  <si>
    <t>HPC (Home, Pre-Owned, Collectables)</t>
  </si>
  <si>
    <t>Consumables</t>
  </si>
  <si>
    <t>Tables</t>
  </si>
  <si>
    <t>Banner 2</t>
  </si>
  <si>
    <t>New request</t>
  </si>
  <si>
    <t>Standard</t>
  </si>
  <si>
    <t>In progress</t>
  </si>
  <si>
    <t>Vertical</t>
  </si>
  <si>
    <t>VERTICAL = beauty</t>
  </si>
  <si>
    <t>Fashion &amp; Personal Care &amp; Beauty</t>
  </si>
  <si>
    <t>VERTICAL = tech, personalDev, education, humanity, games, comics, softNews, entertain</t>
  </si>
  <si>
    <t>VERTICAL = art, daily, diy, hacks, automotive, animal, family</t>
  </si>
  <si>
    <t>VERTICAL = cooking, food, travel, outdoor, sports</t>
  </si>
  <si>
    <t>ABCDEFG, HI, JKLM, ANOP, QRS, TUVW</t>
  </si>
  <si>
    <t>Add 4 more banner points</t>
  </si>
  <si>
    <t>Summary table, each platform should have a different base</t>
  </si>
  <si>
    <t>Include net: Features Net (1-4)
Campaign Net (5-8)</t>
  </si>
  <si>
    <t>Include additional Top 4 box summary table</t>
  </si>
  <si>
    <t xml:space="preserve">Incude rank 1 summary table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</si>
</sst>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8"/>
      <color indexed="12"/>
      <name val="Arial"/>
      <family val="2"/>
    </font>
    <font>
      <b/>
      <sz val="11"/>
      <color indexed="56"/>
      <name val="Calibri"/>
      <family val="2"/>
    </font>
    <font>
      <sz val="10"/>
      <name val="Arial"/>
      <family val="2"/>
    </font>
    <font>
      <sz val="10"/>
      <name val="Calibri"/>
      <family val="2"/>
      <scheme val="minor"/>
    </font>
    <font>
      <sz val="11"/>
      <name val="Calibri"/>
      <family val="2"/>
      <scheme val="minor"/>
    </font>
    <font>
      <b/>
      <u/>
      <sz val="10"/>
      <name val="Calibri"/>
      <family val="2"/>
      <scheme val="minor"/>
    </font>
    <font>
      <u/>
      <sz val="10"/>
      <name val="Calibri"/>
      <family val="2"/>
      <scheme val="minor"/>
    </font>
    <font>
      <sz val="12"/>
      <color rgb="FF000000"/>
      <name val="Calibri"/>
      <family val="2"/>
    </font>
    <font>
      <b/>
      <sz val="10"/>
      <color theme="0"/>
      <name val="Calibri"/>
      <family val="2"/>
      <scheme val="minor"/>
    </font>
    <font>
      <sz val="10"/>
      <color theme="1"/>
      <name val="Calibri"/>
      <family val="2"/>
      <scheme val="minor"/>
    </font>
    <font>
      <b/>
      <sz val="10"/>
      <name val="Calibri"/>
      <family val="2"/>
      <scheme val="minor"/>
    </font>
    <font>
      <u/>
      <sz val="10"/>
      <color indexed="12"/>
      <name val="Arial"/>
      <family val="2"/>
    </font>
    <font>
      <b/>
      <u/>
      <sz val="10"/>
      <color theme="0"/>
      <name val="Calibri"/>
      <family val="2"/>
      <scheme val="minor"/>
    </font>
    <font>
      <sz val="10"/>
      <color theme="0"/>
      <name val="Calibri"/>
      <family val="2"/>
      <scheme val="minor"/>
    </font>
    <font>
      <b/>
      <u/>
      <sz val="10"/>
      <color indexed="8"/>
      <name val="Calibri"/>
      <family val="2"/>
      <scheme val="minor"/>
    </font>
    <font>
      <sz val="10"/>
      <color indexed="48"/>
      <name val="Calibri"/>
      <family val="2"/>
      <scheme val="minor"/>
    </font>
    <font>
      <i/>
      <u/>
      <sz val="10"/>
      <name val="Calibri"/>
      <family val="2"/>
      <scheme val="minor"/>
    </font>
    <font>
      <b/>
      <i/>
      <sz val="10"/>
      <name val="Calibri"/>
      <family val="2"/>
      <scheme val="minor"/>
    </font>
    <font>
      <i/>
      <sz val="10"/>
      <color indexed="9"/>
      <name val="Calibri"/>
      <family val="2"/>
      <scheme val="minor"/>
    </font>
    <font>
      <i/>
      <sz val="10"/>
      <name val="Calibri"/>
      <family val="2"/>
      <scheme val="minor"/>
    </font>
    <font>
      <sz val="10"/>
      <color indexed="9"/>
      <name val="Calibri"/>
      <family val="2"/>
      <scheme val="minor"/>
    </font>
    <font>
      <sz val="10"/>
      <color rgb="FF002554"/>
      <name val="Calibri"/>
      <family val="2"/>
      <scheme val="minor"/>
    </font>
    <font>
      <sz val="24"/>
      <color rgb="FF002554"/>
      <name val="Calibri"/>
      <family val="2"/>
      <scheme val="minor"/>
    </font>
    <font>
      <b/>
      <sz val="10"/>
      <color rgb="FF002554"/>
      <name val="Calibri"/>
      <family val="2"/>
      <scheme val="minor"/>
    </font>
    <font>
      <sz val="11"/>
      <name val="Calibri"/>
      <family val="2"/>
    </font>
    <font>
      <b/>
      <sz val="11"/>
      <color theme="1"/>
      <name val="Calibri"/>
      <family val="2"/>
      <scheme val="minor"/>
    </font>
    <font>
      <u/>
      <sz val="11"/>
      <color theme="1"/>
      <name val="Calibri"/>
      <family val="2"/>
      <scheme val="minor"/>
    </font>
    <font>
      <b/>
      <sz val="18"/>
      <color theme="1"/>
      <name val="Calibri"/>
      <family val="2"/>
      <scheme val="minor"/>
    </font>
    <font>
      <b/>
      <sz val="11"/>
      <name val="Calibri"/>
      <family val="2"/>
      <scheme val="minor"/>
    </font>
    <font>
      <sz val="10"/>
      <color indexed="12"/>
      <name val="Arial"/>
      <family val="2"/>
    </font>
    <font>
      <b/>
      <sz val="10"/>
      <name val="Arial"/>
      <family val="2"/>
    </font>
    <font>
      <b/>
      <sz val="12"/>
      <name val="Arial"/>
      <family val="2"/>
      <charset val="204"/>
    </font>
    <font>
      <b/>
      <sz val="10"/>
      <color theme="0"/>
      <name val="Arial"/>
      <family val="2"/>
    </font>
    <font>
      <b/>
      <sz val="10"/>
      <color theme="0"/>
      <name val="Arial"/>
      <family val="2"/>
      <charset val="204"/>
    </font>
    <font>
      <sz val="10"/>
      <color theme="1"/>
      <name val="Calibri"/>
      <family val="2"/>
    </font>
    <font>
      <u/>
      <sz val="10"/>
      <color rgb="FF0000FF"/>
      <name val="Arial"/>
      <family val="2"/>
    </font>
    <font>
      <sz val="10"/>
      <color rgb="FF000000"/>
      <name val="Calibri"/>
      <family val="2"/>
      <scheme val="minor"/>
    </font>
    <font>
      <sz val="10"/>
      <color rgb="FF002554"/>
      <name val="Aptos Narrow"/>
      <family val="2"/>
    </font>
    <font>
      <sz val="8"/>
      <name val="Arial"/>
      <family val="2"/>
    </font>
  </fonts>
  <fills count="2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solid">
        <fgColor rgb="FFF2F7FC"/>
        <bgColor indexed="64"/>
      </patternFill>
    </fill>
    <fill>
      <patternFill patternType="solid">
        <fgColor rgb="FFF2F8EE"/>
        <bgColor indexed="64"/>
      </patternFill>
    </fill>
    <fill>
      <patternFill patternType="solid">
        <fgColor rgb="FFF9F9F9"/>
        <bgColor indexed="64"/>
      </patternFill>
    </fill>
    <fill>
      <patternFill patternType="solid">
        <fgColor rgb="FFEDF0F3"/>
        <bgColor indexed="64"/>
      </patternFill>
    </fill>
    <fill>
      <patternFill patternType="solid">
        <fgColor rgb="FFFFFCF3"/>
        <bgColor indexed="64"/>
      </patternFill>
    </fill>
    <fill>
      <patternFill patternType="solid">
        <fgColor rgb="FF009D9C"/>
        <bgColor indexed="64"/>
      </patternFill>
    </fill>
    <fill>
      <patternFill patternType="solid">
        <fgColor theme="8" tint="0.59999389629810485"/>
        <bgColor indexed="64"/>
      </patternFill>
    </fill>
    <fill>
      <patternFill patternType="solid">
        <fgColor rgb="FF003249"/>
        <bgColor indexed="64"/>
      </patternFill>
    </fill>
    <fill>
      <patternFill patternType="solid">
        <fgColor rgb="FFCFE8EF"/>
        <bgColor indexed="64"/>
      </patternFill>
    </fill>
    <fill>
      <patternFill patternType="solid">
        <fgColor rgb="FFFFC857"/>
        <bgColor indexed="64"/>
      </patternFill>
    </fill>
    <fill>
      <patternFill patternType="solid">
        <fgColor rgb="FF2E4052"/>
        <bgColor indexed="64"/>
      </patternFill>
    </fill>
    <fill>
      <patternFill patternType="solid">
        <fgColor rgb="FF002554"/>
        <bgColor indexed="64"/>
      </patternFill>
    </fill>
    <fill>
      <patternFill patternType="solid">
        <fgColor rgb="FFFFFF00"/>
        <bgColor indexed="64"/>
      </patternFill>
    </fill>
    <fill>
      <patternFill patternType="solid">
        <fgColor indexed="22"/>
        <bgColor indexed="64"/>
      </patternFill>
    </fill>
    <fill>
      <patternFill patternType="solid">
        <fgColor theme="4" tint="-0.249977111117893"/>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C0C0C0"/>
        <bgColor rgb="FFC0C0C0"/>
      </patternFill>
    </fill>
    <fill>
      <patternFill patternType="solid">
        <fgColor theme="9"/>
        <bgColor indexed="64"/>
      </patternFill>
    </fill>
  </fills>
  <borders count="28">
    <border>
      <left/>
      <right/>
      <top/>
      <bottom/>
      <diagonal/>
    </border>
    <border>
      <left style="medium">
        <color indexed="64"/>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auto="1"/>
      </bottom>
      <diagonal/>
    </border>
    <border>
      <left/>
      <right style="medium">
        <color auto="1"/>
      </right>
      <top/>
      <bottom style="medium">
        <color auto="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style="hair">
        <color theme="0" tint="-0.34998626667073579"/>
      </right>
      <top style="hair">
        <color theme="0" tint="-0.34998626667073579"/>
      </top>
      <bottom style="hair">
        <color theme="0" tint="-0.34998626667073579"/>
      </bottom>
      <diagonal/>
    </border>
    <border>
      <left/>
      <right/>
      <top style="hair">
        <color theme="0" tint="-0.34998626667073579"/>
      </top>
      <bottom style="hair">
        <color theme="0" tint="-0.34998626667073579"/>
      </bottom>
      <diagonal/>
    </border>
    <border>
      <left/>
      <right/>
      <top/>
      <bottom style="medium">
        <color indexed="30"/>
      </bottom>
      <diagonal/>
    </border>
    <border>
      <left/>
      <right/>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dotted">
        <color rgb="FFA6A6A6"/>
      </left>
      <right style="dotted">
        <color rgb="FFA6A6A6"/>
      </right>
      <top style="dotted">
        <color rgb="FFA6A6A6"/>
      </top>
      <bottom style="dotted">
        <color rgb="FFA6A6A6"/>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1">
    <xf numFmtId="0" fontId="0" fillId="0" borderId="0"/>
    <xf numFmtId="0" fontId="9" fillId="0" borderId="0"/>
    <xf numFmtId="0" fontId="11" fillId="0" borderId="0"/>
    <xf numFmtId="0" fontId="11" fillId="0" borderId="0"/>
    <xf numFmtId="0" fontId="7" fillId="0" borderId="0"/>
    <xf numFmtId="0" fontId="7" fillId="0" borderId="0"/>
    <xf numFmtId="0" fontId="11" fillId="0" borderId="0"/>
    <xf numFmtId="0" fontId="16" fillId="0" borderId="0"/>
    <xf numFmtId="0" fontId="7" fillId="0" borderId="0"/>
    <xf numFmtId="0" fontId="7" fillId="0" borderId="0"/>
    <xf numFmtId="0" fontId="7" fillId="0" borderId="0"/>
    <xf numFmtId="0" fontId="7" fillId="0" borderId="0"/>
    <xf numFmtId="0" fontId="10" fillId="0" borderId="20"/>
    <xf numFmtId="0" fontId="10" fillId="0" borderId="20"/>
    <xf numFmtId="0" fontId="7" fillId="0" borderId="0"/>
    <xf numFmtId="0" fontId="7" fillId="0" borderId="0"/>
    <xf numFmtId="0" fontId="7" fillId="0" borderId="0"/>
    <xf numFmtId="0" fontId="7" fillId="0" borderId="0"/>
    <xf numFmtId="0" fontId="7" fillId="0" borderId="0"/>
    <xf numFmtId="0" fontId="7" fillId="0" borderId="0"/>
    <xf numFmtId="0" fontId="43" fillId="0" borderId="0"/>
  </cellStyleXfs>
  <cellXfs count="201">
    <xf numFmtId="0" fontId="0" fillId="0" borderId="0" xfId="0"/>
    <xf numFmtId="0" fontId="6" fillId="0" borderId="0" xfId="5" applyFont="1"/>
    <xf numFmtId="0" fontId="12" fillId="0" borderId="0" xfId="6" applyFont="1" applyAlignment="1">
      <alignment vertical="center"/>
    </xf>
    <xf numFmtId="0" fontId="12" fillId="0" borderId="0" xfId="6" applyFont="1" applyAlignment="1">
      <alignment horizontal="left" vertical="center"/>
    </xf>
    <xf numFmtId="0" fontId="5" fillId="0" borderId="0" xfId="5" applyFont="1"/>
    <xf numFmtId="0" fontId="4" fillId="0" borderId="0" xfId="5" applyFont="1"/>
    <xf numFmtId="0" fontId="3" fillId="0" borderId="0" xfId="5" applyFont="1"/>
    <xf numFmtId="0" fontId="18" fillId="0" borderId="0" xfId="11" applyFont="1" applyAlignment="1">
      <alignment horizontal="center" vertical="center"/>
    </xf>
    <xf numFmtId="0" fontId="18" fillId="10" borderId="17" xfId="11" applyFont="1" applyFill="1" applyBorder="1" applyAlignment="1">
      <alignment vertical="center"/>
    </xf>
    <xf numFmtId="0" fontId="18" fillId="10" borderId="17" xfId="11" applyFont="1" applyFill="1" applyBorder="1" applyAlignment="1">
      <alignment vertical="center" wrapText="1"/>
    </xf>
    <xf numFmtId="0" fontId="18" fillId="6" borderId="17" xfId="11" applyFont="1" applyFill="1" applyBorder="1" applyAlignment="1">
      <alignment horizontal="center" vertical="center"/>
    </xf>
    <xf numFmtId="0" fontId="18" fillId="6" borderId="17" xfId="11" applyFont="1" applyFill="1" applyBorder="1" applyAlignment="1">
      <alignment vertical="center"/>
    </xf>
    <xf numFmtId="0" fontId="18" fillId="7" borderId="17" xfId="11" applyFont="1" applyFill="1" applyBorder="1" applyAlignment="1">
      <alignment horizontal="center" vertical="center"/>
    </xf>
    <xf numFmtId="0" fontId="18" fillId="8" borderId="17" xfId="11" applyFont="1" applyFill="1" applyBorder="1" applyAlignment="1">
      <alignment vertical="center"/>
    </xf>
    <xf numFmtId="0" fontId="18" fillId="8" borderId="17" xfId="11" applyFont="1" applyFill="1" applyBorder="1" applyAlignment="1">
      <alignment horizontal="center" vertical="center"/>
    </xf>
    <xf numFmtId="0" fontId="18" fillId="9" borderId="17" xfId="11" applyFont="1" applyFill="1" applyBorder="1" applyAlignment="1">
      <alignment vertical="center"/>
    </xf>
    <xf numFmtId="0" fontId="18" fillId="10" borderId="17" xfId="11" applyFont="1" applyFill="1" applyBorder="1" applyAlignment="1">
      <alignment horizontal="center" vertical="center"/>
    </xf>
    <xf numFmtId="0" fontId="18" fillId="0" borderId="0" xfId="11" applyFont="1" applyAlignment="1">
      <alignment horizontal="center"/>
    </xf>
    <xf numFmtId="0" fontId="18" fillId="0" borderId="0" xfId="11" applyFont="1" applyAlignment="1">
      <alignment vertical="center"/>
    </xf>
    <xf numFmtId="0" fontId="17" fillId="0" borderId="0" xfId="11" applyFont="1" applyAlignment="1">
      <alignment horizontal="center"/>
    </xf>
    <xf numFmtId="0" fontId="17" fillId="0" borderId="0" xfId="11" applyFont="1"/>
    <xf numFmtId="0" fontId="14" fillId="12" borderId="0" xfId="11" applyFont="1" applyFill="1" applyAlignment="1">
      <alignment horizontal="center"/>
    </xf>
    <xf numFmtId="0" fontId="14" fillId="12" borderId="17" xfId="11" applyFont="1" applyFill="1" applyBorder="1"/>
    <xf numFmtId="0" fontId="18" fillId="0" borderId="0" xfId="5" applyFont="1"/>
    <xf numFmtId="0" fontId="20" fillId="3" borderId="1" xfId="1" applyFont="1" applyFill="1" applyBorder="1" applyAlignment="1">
      <alignment horizontal="center" wrapText="1"/>
    </xf>
    <xf numFmtId="0" fontId="20" fillId="3" borderId="0" xfId="1" applyFont="1" applyFill="1" applyAlignment="1">
      <alignment horizontal="center" wrapText="1"/>
    </xf>
    <xf numFmtId="0" fontId="12" fillId="0" borderId="3" xfId="6" applyFont="1" applyBorder="1" applyAlignment="1">
      <alignment horizontal="center" vertical="center"/>
    </xf>
    <xf numFmtId="0" fontId="12" fillId="0" borderId="8" xfId="6" applyFont="1" applyBorder="1" applyAlignment="1">
      <alignment horizontal="center" vertical="center"/>
    </xf>
    <xf numFmtId="0" fontId="12" fillId="0" borderId="6" xfId="6" applyFont="1" applyBorder="1" applyAlignment="1">
      <alignment horizontal="center" vertical="center"/>
    </xf>
    <xf numFmtId="0" fontId="15" fillId="0" borderId="3" xfId="6" applyFont="1" applyBorder="1" applyAlignment="1">
      <alignment horizontal="left" vertical="center" wrapText="1"/>
    </xf>
    <xf numFmtId="0" fontId="12" fillId="0" borderId="3" xfId="6" applyFont="1" applyBorder="1" applyAlignment="1">
      <alignment horizontal="left" vertical="center" wrapText="1"/>
    </xf>
    <xf numFmtId="0" fontId="12" fillId="0" borderId="3" xfId="6" applyFont="1" applyBorder="1" applyAlignment="1">
      <alignment horizontal="left" vertical="center"/>
    </xf>
    <xf numFmtId="0" fontId="12" fillId="0" borderId="3" xfId="6" applyFont="1" applyBorder="1" applyAlignment="1">
      <alignment vertical="center"/>
    </xf>
    <xf numFmtId="0" fontId="15" fillId="11" borderId="1" xfId="6" applyFont="1" applyFill="1" applyBorder="1" applyAlignment="1">
      <alignment horizontal="left" vertical="center"/>
    </xf>
    <xf numFmtId="0" fontId="15" fillId="11" borderId="0" xfId="6" applyFont="1" applyFill="1" applyAlignment="1">
      <alignment horizontal="center" vertical="center"/>
    </xf>
    <xf numFmtId="0" fontId="14" fillId="11" borderId="0" xfId="6" applyFont="1" applyFill="1" applyAlignment="1">
      <alignment horizontal="center" vertical="center"/>
    </xf>
    <xf numFmtId="0" fontId="14" fillId="11" borderId="13" xfId="6" applyFont="1" applyFill="1" applyBorder="1" applyAlignment="1">
      <alignment horizontal="center" vertical="center"/>
    </xf>
    <xf numFmtId="0" fontId="12" fillId="11" borderId="1" xfId="6" applyFont="1" applyFill="1" applyBorder="1" applyAlignment="1">
      <alignment horizontal="left" vertical="center"/>
    </xf>
    <xf numFmtId="0" fontId="15" fillId="11" borderId="0" xfId="6" applyFont="1" applyFill="1" applyAlignment="1">
      <alignment horizontal="left" vertical="center"/>
    </xf>
    <xf numFmtId="0" fontId="12" fillId="11" borderId="0" xfId="6" applyFont="1" applyFill="1" applyAlignment="1">
      <alignment horizontal="left" vertical="center"/>
    </xf>
    <xf numFmtId="0" fontId="12" fillId="11" borderId="0" xfId="6" applyFont="1" applyFill="1" applyAlignment="1">
      <alignment horizontal="center" vertical="center"/>
    </xf>
    <xf numFmtId="0" fontId="15" fillId="11" borderId="0" xfId="6" applyFont="1" applyFill="1" applyAlignment="1">
      <alignment horizontal="left" vertical="center" wrapText="1"/>
    </xf>
    <xf numFmtId="0" fontId="14" fillId="11" borderId="1" xfId="6" applyFont="1" applyFill="1" applyBorder="1" applyAlignment="1">
      <alignment horizontal="left" vertical="center"/>
    </xf>
    <xf numFmtId="0" fontId="18" fillId="11" borderId="1" xfId="5" applyFont="1" applyFill="1" applyBorder="1" applyAlignment="1">
      <alignment horizontal="left" vertical="center"/>
    </xf>
    <xf numFmtId="0" fontId="12" fillId="11" borderId="13" xfId="6" applyFont="1" applyFill="1" applyBorder="1" applyAlignment="1">
      <alignment vertical="center"/>
    </xf>
    <xf numFmtId="0" fontId="18" fillId="11" borderId="1" xfId="5" applyFont="1" applyFill="1" applyBorder="1" applyAlignment="1">
      <alignment vertical="center"/>
    </xf>
    <xf numFmtId="0" fontId="6" fillId="11" borderId="1" xfId="5" applyFont="1" applyFill="1" applyBorder="1" applyAlignment="1">
      <alignment horizontal="left" vertical="center"/>
    </xf>
    <xf numFmtId="0" fontId="6" fillId="11" borderId="11" xfId="5" applyFont="1" applyFill="1" applyBorder="1" applyAlignment="1">
      <alignment horizontal="left" vertical="center"/>
    </xf>
    <xf numFmtId="0" fontId="6" fillId="11" borderId="0" xfId="5" applyFont="1" applyFill="1" applyAlignment="1">
      <alignment horizontal="left" vertical="center"/>
    </xf>
    <xf numFmtId="0" fontId="18" fillId="11" borderId="14" xfId="5" applyFont="1" applyFill="1" applyBorder="1"/>
    <xf numFmtId="0" fontId="6" fillId="11" borderId="15" xfId="5" applyFont="1" applyFill="1" applyBorder="1"/>
    <xf numFmtId="0" fontId="6" fillId="11" borderId="16" xfId="5" applyFont="1" applyFill="1" applyBorder="1"/>
    <xf numFmtId="0" fontId="12" fillId="14" borderId="1" xfId="6" applyFont="1" applyFill="1" applyBorder="1" applyAlignment="1">
      <alignment vertical="center"/>
    </xf>
    <xf numFmtId="0" fontId="12" fillId="14" borderId="13" xfId="6" applyFont="1" applyFill="1" applyBorder="1" applyAlignment="1">
      <alignment vertical="center"/>
    </xf>
    <xf numFmtId="0" fontId="12" fillId="14" borderId="14" xfId="6" applyFont="1" applyFill="1" applyBorder="1" applyAlignment="1">
      <alignment vertical="center"/>
    </xf>
    <xf numFmtId="0" fontId="12" fillId="14" borderId="12" xfId="6" applyFont="1" applyFill="1" applyBorder="1" applyAlignment="1">
      <alignment vertical="center"/>
    </xf>
    <xf numFmtId="0" fontId="12" fillId="14" borderId="16" xfId="6" applyFont="1" applyFill="1" applyBorder="1" applyAlignment="1">
      <alignment vertical="center"/>
    </xf>
    <xf numFmtId="0" fontId="14" fillId="15" borderId="1" xfId="6" applyFont="1" applyFill="1" applyBorder="1" applyAlignment="1">
      <alignment horizontal="center" vertical="center"/>
    </xf>
    <xf numFmtId="0" fontId="14" fillId="15" borderId="13" xfId="6" applyFont="1" applyFill="1" applyBorder="1" applyAlignment="1">
      <alignment horizontal="center" vertical="center"/>
    </xf>
    <xf numFmtId="0" fontId="12" fillId="15" borderId="1" xfId="6" applyFont="1" applyFill="1" applyBorder="1" applyAlignment="1">
      <alignment horizontal="left" vertical="center"/>
    </xf>
    <xf numFmtId="0" fontId="12" fillId="15" borderId="14" xfId="6" applyFont="1" applyFill="1" applyBorder="1" applyAlignment="1">
      <alignment vertical="center"/>
    </xf>
    <xf numFmtId="0" fontId="12" fillId="15" borderId="12" xfId="6" applyFont="1" applyFill="1" applyBorder="1" applyAlignment="1">
      <alignment vertical="center"/>
    </xf>
    <xf numFmtId="0" fontId="12" fillId="15" borderId="16" xfId="6" applyFont="1" applyFill="1" applyBorder="1" applyAlignment="1">
      <alignment vertical="center"/>
    </xf>
    <xf numFmtId="0" fontId="12" fillId="16" borderId="1" xfId="6" applyFont="1" applyFill="1" applyBorder="1" applyAlignment="1">
      <alignment vertical="center"/>
    </xf>
    <xf numFmtId="0" fontId="12" fillId="16" borderId="0" xfId="6" applyFont="1" applyFill="1" applyAlignment="1">
      <alignment horizontal="center" vertical="top" wrapText="1"/>
    </xf>
    <xf numFmtId="0" fontId="12" fillId="16" borderId="13" xfId="6" applyFont="1" applyFill="1" applyBorder="1" applyAlignment="1">
      <alignment vertical="center"/>
    </xf>
    <xf numFmtId="0" fontId="13" fillId="16" borderId="1" xfId="6" applyFont="1" applyFill="1" applyBorder="1" applyAlignment="1">
      <alignment vertical="center"/>
    </xf>
    <xf numFmtId="0" fontId="18" fillId="16" borderId="1" xfId="5" applyFont="1" applyFill="1" applyBorder="1"/>
    <xf numFmtId="0" fontId="18" fillId="16" borderId="0" xfId="5" applyFont="1" applyFill="1"/>
    <xf numFmtId="0" fontId="18" fillId="16" borderId="14" xfId="5" applyFont="1" applyFill="1" applyBorder="1"/>
    <xf numFmtId="0" fontId="18" fillId="16" borderId="12" xfId="5" applyFont="1" applyFill="1" applyBorder="1"/>
    <xf numFmtId="0" fontId="12" fillId="16" borderId="16" xfId="6" applyFont="1" applyFill="1" applyBorder="1" applyAlignment="1">
      <alignment vertical="center"/>
    </xf>
    <xf numFmtId="0" fontId="12" fillId="11" borderId="17" xfId="11" applyFont="1" applyFill="1" applyBorder="1" applyAlignment="1">
      <alignment wrapText="1"/>
    </xf>
    <xf numFmtId="0" fontId="12" fillId="11" borderId="17" xfId="11" applyFont="1" applyFill="1" applyBorder="1" applyAlignment="1">
      <alignment horizontal="center" wrapText="1"/>
    </xf>
    <xf numFmtId="0" fontId="12" fillId="11" borderId="17" xfId="11" applyFont="1" applyFill="1" applyBorder="1" applyAlignment="1">
      <alignment horizontal="center" textRotation="90" wrapText="1"/>
    </xf>
    <xf numFmtId="0" fontId="22" fillId="0" borderId="0" xfId="11" applyFont="1" applyAlignment="1">
      <alignment horizontal="center" wrapText="1"/>
    </xf>
    <xf numFmtId="0" fontId="22" fillId="0" borderId="0" xfId="11" applyFont="1" applyAlignment="1">
      <alignment wrapText="1"/>
    </xf>
    <xf numFmtId="0" fontId="12" fillId="0" borderId="0" xfId="6" applyFont="1"/>
    <xf numFmtId="0" fontId="23" fillId="0" borderId="0" xfId="1" applyFont="1" applyAlignment="1">
      <alignment vertical="center"/>
    </xf>
    <xf numFmtId="0" fontId="24" fillId="0" borderId="0" xfId="6" applyFont="1"/>
    <xf numFmtId="0" fontId="25" fillId="0" borderId="0" xfId="6" applyFont="1"/>
    <xf numFmtId="0" fontId="28" fillId="0" borderId="0" xfId="6" applyFont="1"/>
    <xf numFmtId="0" fontId="28" fillId="0" borderId="0" xfId="6" applyFont="1" applyAlignment="1">
      <alignment horizontal="center"/>
    </xf>
    <xf numFmtId="0" fontId="12" fillId="0" borderId="0" xfId="6" applyFont="1" applyAlignment="1">
      <alignment horizontal="center"/>
    </xf>
    <xf numFmtId="0" fontId="12" fillId="0" borderId="3" xfId="6" applyFont="1" applyBorder="1"/>
    <xf numFmtId="0" fontId="12" fillId="0" borderId="3" xfId="6" applyFont="1" applyBorder="1" applyAlignment="1">
      <alignment horizontal="center"/>
    </xf>
    <xf numFmtId="0" fontId="30" fillId="2" borderId="0" xfId="3" applyFont="1" applyFill="1"/>
    <xf numFmtId="0" fontId="31" fillId="2" borderId="0" xfId="3" applyFont="1" applyFill="1"/>
    <xf numFmtId="0" fontId="30" fillId="4" borderId="0" xfId="3" applyFont="1" applyFill="1"/>
    <xf numFmtId="0" fontId="30" fillId="5" borderId="0" xfId="3" applyFont="1" applyFill="1"/>
    <xf numFmtId="0" fontId="30" fillId="5" borderId="0" xfId="3" applyFont="1" applyFill="1" applyAlignment="1">
      <alignment horizontal="left" vertical="center"/>
    </xf>
    <xf numFmtId="0" fontId="30" fillId="2" borderId="3" xfId="3" applyFont="1" applyFill="1" applyBorder="1"/>
    <xf numFmtId="0" fontId="30" fillId="2" borderId="3" xfId="3" applyFont="1" applyFill="1" applyBorder="1" applyAlignment="1">
      <alignment horizontal="center"/>
    </xf>
    <xf numFmtId="0" fontId="30" fillId="2" borderId="0" xfId="3" applyFont="1" applyFill="1" applyAlignment="1">
      <alignment horizontal="center"/>
    </xf>
    <xf numFmtId="0" fontId="32" fillId="2" borderId="0" xfId="3" applyFont="1" applyFill="1"/>
    <xf numFmtId="0" fontId="30" fillId="2" borderId="0" xfId="3" applyFont="1" applyFill="1" applyAlignment="1">
      <alignment horizontal="right"/>
    </xf>
    <xf numFmtId="0" fontId="27" fillId="17" borderId="3" xfId="6" applyFont="1" applyFill="1" applyBorder="1" applyAlignment="1">
      <alignment horizontal="center"/>
    </xf>
    <xf numFmtId="0" fontId="27" fillId="17" borderId="3" xfId="6" applyFont="1" applyFill="1" applyBorder="1" applyAlignment="1">
      <alignment horizontal="center" wrapText="1"/>
    </xf>
    <xf numFmtId="0" fontId="19" fillId="14" borderId="3" xfId="6" applyFont="1" applyFill="1" applyBorder="1" applyAlignment="1">
      <alignment horizontal="center"/>
    </xf>
    <xf numFmtId="0" fontId="26" fillId="14" borderId="3" xfId="6" applyFont="1" applyFill="1" applyBorder="1" applyAlignment="1">
      <alignment horizontal="center"/>
    </xf>
    <xf numFmtId="0" fontId="28" fillId="14" borderId="3" xfId="6" applyFont="1" applyFill="1" applyBorder="1"/>
    <xf numFmtId="0" fontId="28" fillId="14" borderId="3" xfId="6" applyFont="1" applyFill="1" applyBorder="1" applyAlignment="1">
      <alignment horizontal="center"/>
    </xf>
    <xf numFmtId="0" fontId="29" fillId="17" borderId="3" xfId="6" applyFont="1" applyFill="1" applyBorder="1" applyAlignment="1">
      <alignment horizontal="center"/>
    </xf>
    <xf numFmtId="0" fontId="29" fillId="17" borderId="3" xfId="6" applyFont="1" applyFill="1" applyBorder="1" applyAlignment="1">
      <alignment horizontal="center" wrapText="1"/>
    </xf>
    <xf numFmtId="0" fontId="29" fillId="13" borderId="3" xfId="6" applyFont="1" applyFill="1" applyBorder="1" applyAlignment="1">
      <alignment horizontal="center"/>
    </xf>
    <xf numFmtId="0" fontId="29" fillId="13" borderId="3" xfId="6" applyFont="1" applyFill="1" applyBorder="1" applyAlignment="1">
      <alignment horizontal="center" wrapText="1"/>
    </xf>
    <xf numFmtId="0" fontId="3" fillId="0" borderId="0" xfId="11" applyFont="1"/>
    <xf numFmtId="0" fontId="2" fillId="0" borderId="0" xfId="5" applyFont="1"/>
    <xf numFmtId="0" fontId="0" fillId="0" borderId="0" xfId="0" applyAlignment="1">
      <alignment wrapText="1"/>
    </xf>
    <xf numFmtId="0" fontId="34" fillId="0" borderId="0" xfId="17" applyFont="1"/>
    <xf numFmtId="0" fontId="1" fillId="0" borderId="0" xfId="17" applyFont="1"/>
    <xf numFmtId="0" fontId="35" fillId="0" borderId="0" xfId="17" applyFont="1"/>
    <xf numFmtId="0" fontId="36" fillId="0" borderId="0" xfId="15" applyFont="1"/>
    <xf numFmtId="0" fontId="1" fillId="0" borderId="0" xfId="15" applyFont="1" applyAlignment="1">
      <alignment wrapText="1"/>
    </xf>
    <xf numFmtId="0" fontId="1" fillId="0" borderId="0" xfId="15" applyFont="1"/>
    <xf numFmtId="0" fontId="1" fillId="18" borderId="0" xfId="15" applyFont="1" applyFill="1" applyAlignment="1">
      <alignment wrapText="1"/>
    </xf>
    <xf numFmtId="0" fontId="1" fillId="18" borderId="0" xfId="15" applyFont="1" applyFill="1"/>
    <xf numFmtId="0" fontId="8" fillId="19" borderId="0" xfId="3" applyFont="1" applyFill="1"/>
    <xf numFmtId="0" fontId="8" fillId="19" borderId="0" xfId="3" applyFont="1" applyFill="1" applyAlignment="1">
      <alignment wrapText="1"/>
    </xf>
    <xf numFmtId="0" fontId="8" fillId="19" borderId="21" xfId="3" applyFont="1" applyFill="1" applyBorder="1"/>
    <xf numFmtId="0" fontId="8" fillId="19" borderId="21" xfId="3" applyFont="1" applyFill="1" applyBorder="1" applyAlignment="1">
      <alignment wrapText="1"/>
    </xf>
    <xf numFmtId="0" fontId="38" fillId="19" borderId="0" xfId="3" applyFont="1" applyFill="1"/>
    <xf numFmtId="0" fontId="39" fillId="19" borderId="0" xfId="3" applyFont="1" applyFill="1"/>
    <xf numFmtId="0" fontId="8" fillId="0" borderId="0" xfId="15" applyFont="1" applyAlignment="1">
      <alignment wrapText="1"/>
    </xf>
    <xf numFmtId="0" fontId="1" fillId="0" borderId="0" xfId="15" applyFont="1" applyAlignment="1">
      <alignment horizontal="left" wrapText="1"/>
    </xf>
    <xf numFmtId="0" fontId="8" fillId="0" borderId="0" xfId="15" applyFont="1" applyAlignment="1">
      <alignment horizontal="left" wrapText="1"/>
    </xf>
    <xf numFmtId="49" fontId="8" fillId="0" borderId="0" xfId="15" applyNumberFormat="1" applyFont="1" applyAlignment="1">
      <alignment wrapText="1"/>
    </xf>
    <xf numFmtId="49" fontId="1" fillId="0" borderId="0" xfId="15" applyNumberFormat="1" applyFont="1" applyAlignment="1">
      <alignment wrapText="1"/>
    </xf>
    <xf numFmtId="0" fontId="33" fillId="0" borderId="0" xfId="15" applyFont="1" applyAlignment="1">
      <alignment vertical="center" wrapText="1"/>
    </xf>
    <xf numFmtId="0" fontId="8" fillId="0" borderId="0" xfId="15" applyFont="1"/>
    <xf numFmtId="0" fontId="34" fillId="0" borderId="0" xfId="15" applyFont="1" applyAlignment="1">
      <alignment wrapText="1"/>
    </xf>
    <xf numFmtId="0" fontId="37" fillId="0" borderId="0" xfId="15" applyFont="1" applyAlignment="1">
      <alignment horizontal="left" wrapText="1"/>
    </xf>
    <xf numFmtId="0" fontId="34" fillId="0" borderId="0" xfId="15" applyFont="1" applyAlignment="1">
      <alignment horizontal="left" wrapText="1"/>
    </xf>
    <xf numFmtId="0" fontId="12" fillId="0" borderId="5" xfId="6" applyFont="1" applyBorder="1" applyAlignment="1">
      <alignment vertical="center"/>
    </xf>
    <xf numFmtId="0" fontId="30" fillId="2" borderId="0" xfId="3" applyFont="1" applyFill="1" applyAlignment="1">
      <alignment horizontal="left"/>
    </xf>
    <xf numFmtId="0" fontId="40" fillId="0" borderId="0" xfId="20" applyFont="1"/>
    <xf numFmtId="0" fontId="43" fillId="0" borderId="0" xfId="20"/>
    <xf numFmtId="0" fontId="41" fillId="20" borderId="3" xfId="20" applyFont="1" applyFill="1" applyBorder="1" applyAlignment="1">
      <alignment horizontal="center"/>
    </xf>
    <xf numFmtId="0" fontId="8" fillId="21" borderId="3" xfId="20" applyFont="1" applyFill="1" applyBorder="1" applyAlignment="1">
      <alignment horizontal="center"/>
    </xf>
    <xf numFmtId="0" fontId="41" fillId="20" borderId="3" xfId="20" applyFont="1" applyFill="1" applyBorder="1" applyAlignment="1">
      <alignment horizontal="center" wrapText="1"/>
    </xf>
    <xf numFmtId="0" fontId="42" fillId="20" borderId="3" xfId="20" applyFont="1" applyFill="1" applyBorder="1" applyAlignment="1">
      <alignment horizontal="center" wrapText="1"/>
    </xf>
    <xf numFmtId="0" fontId="39" fillId="21" borderId="3" xfId="20" applyFont="1" applyFill="1" applyBorder="1" applyAlignment="1">
      <alignment horizontal="center"/>
    </xf>
    <xf numFmtId="0" fontId="43" fillId="22" borderId="22" xfId="20" applyFill="1" applyBorder="1" applyAlignment="1">
      <alignment horizontal="center"/>
    </xf>
    <xf numFmtId="0" fontId="43" fillId="22" borderId="6" xfId="20" applyFill="1" applyBorder="1" applyAlignment="1">
      <alignment horizontal="center"/>
    </xf>
    <xf numFmtId="0" fontId="43" fillId="22" borderId="3" xfId="20" applyFill="1" applyBorder="1" applyAlignment="1">
      <alignment horizontal="left" wrapText="1"/>
    </xf>
    <xf numFmtId="0" fontId="8" fillId="22" borderId="3" xfId="20" applyFont="1" applyFill="1" applyBorder="1" applyAlignment="1">
      <alignment horizontal="left" wrapText="1"/>
    </xf>
    <xf numFmtId="0" fontId="43" fillId="22" borderId="3" xfId="20" applyFill="1" applyBorder="1" applyAlignment="1">
      <alignment wrapText="1"/>
    </xf>
    <xf numFmtId="0" fontId="8" fillId="22" borderId="3" xfId="20" applyFont="1" applyFill="1" applyBorder="1" applyAlignment="1">
      <alignment wrapText="1"/>
    </xf>
    <xf numFmtId="0" fontId="44" fillId="0" borderId="0" xfId="0" applyFont="1"/>
    <xf numFmtId="0" fontId="0" fillId="0" borderId="25" xfId="0" applyBorder="1" applyAlignment="1">
      <alignment horizontal="left" vertical="center" wrapText="1"/>
    </xf>
    <xf numFmtId="0" fontId="0" fillId="0" borderId="25" xfId="0" applyBorder="1" applyAlignment="1">
      <alignment horizontal="center" vertical="center"/>
    </xf>
    <xf numFmtId="0" fontId="0" fillId="23" borderId="0" xfId="0" applyFill="1"/>
    <xf numFmtId="0" fontId="0" fillId="0" borderId="25" xfId="0" applyBorder="1" applyAlignment="1">
      <alignment horizontal="center" vertical="center" wrapText="1"/>
    </xf>
    <xf numFmtId="0" fontId="12" fillId="2" borderId="0" xfId="0" applyFont="1" applyFill="1" applyAlignment="1">
      <alignment vertical="center"/>
    </xf>
    <xf numFmtId="0" fontId="30" fillId="2" borderId="0" xfId="3" applyFont="1" applyFill="1" applyAlignment="1">
      <alignment wrapText="1"/>
    </xf>
    <xf numFmtId="0" fontId="12" fillId="2" borderId="3" xfId="0" applyFont="1" applyFill="1" applyBorder="1" applyAlignment="1">
      <alignment horizontal="center" vertical="center" wrapText="1"/>
    </xf>
    <xf numFmtId="0" fontId="12" fillId="2" borderId="3" xfId="0" applyFont="1" applyFill="1" applyBorder="1" applyAlignment="1">
      <alignment vertical="center" wrapText="1"/>
    </xf>
    <xf numFmtId="0" fontId="12" fillId="24" borderId="3" xfId="0" applyFont="1" applyFill="1" applyBorder="1" applyAlignment="1">
      <alignment horizontal="center" vertical="center" wrapText="1"/>
    </xf>
    <xf numFmtId="16" fontId="43" fillId="22" borderId="6" xfId="20" applyNumberFormat="1" applyFill="1" applyBorder="1" applyAlignment="1">
      <alignment horizontal="center"/>
    </xf>
    <xf numFmtId="0" fontId="30" fillId="24" borderId="0" xfId="3" applyFont="1" applyFill="1"/>
    <xf numFmtId="0" fontId="12" fillId="24" borderId="0" xfId="0" applyFont="1" applyFill="1" applyAlignment="1">
      <alignment vertical="center"/>
    </xf>
    <xf numFmtId="0" fontId="8" fillId="18" borderId="25" xfId="0" applyFont="1" applyFill="1" applyBorder="1" applyAlignment="1">
      <alignment horizontal="center" vertical="center"/>
    </xf>
    <xf numFmtId="0" fontId="8" fillId="18" borderId="25" xfId="0" applyFont="1" applyFill="1" applyBorder="1" applyAlignment="1">
      <alignment horizontal="center" vertical="center" wrapText="1"/>
    </xf>
    <xf numFmtId="0" fontId="18" fillId="18" borderId="17" xfId="11" applyFont="1" applyFill="1" applyBorder="1" applyAlignment="1">
      <alignment vertical="center" wrapText="1"/>
    </xf>
    <xf numFmtId="0" fontId="8" fillId="0" borderId="25" xfId="0" applyFont="1" applyBorder="1" applyAlignment="1">
      <alignment horizontal="left" vertical="center" wrapText="1"/>
    </xf>
    <xf numFmtId="0" fontId="12" fillId="3" borderId="3" xfId="6" applyFont="1" applyFill="1" applyBorder="1" applyAlignment="1">
      <alignment horizontal="center" vertical="center"/>
    </xf>
    <xf numFmtId="0" fontId="0" fillId="0" borderId="6" xfId="0" applyBorder="1"/>
    <xf numFmtId="0" fontId="21" fillId="16" borderId="23" xfId="6" applyFont="1" applyFill="1" applyBorder="1" applyAlignment="1">
      <alignment horizontal="center" vertical="center"/>
    </xf>
    <xf numFmtId="0" fontId="0" fillId="0" borderId="5" xfId="0" applyBorder="1"/>
    <xf numFmtId="0" fontId="0" fillId="0" borderId="4" xfId="0" applyBorder="1"/>
    <xf numFmtId="0" fontId="14" fillId="11" borderId="23" xfId="6" applyFont="1" applyFill="1" applyBorder="1" applyAlignment="1">
      <alignment horizontal="center" vertical="center"/>
    </xf>
    <xf numFmtId="0" fontId="14" fillId="14" borderId="23" xfId="6" applyFont="1" applyFill="1" applyBorder="1" applyAlignment="1">
      <alignment horizontal="center" vertical="center"/>
    </xf>
    <xf numFmtId="0" fontId="12" fillId="0" borderId="3" xfId="6" applyFont="1" applyBorder="1" applyAlignment="1">
      <alignment horizontal="center" vertical="center" wrapText="1"/>
    </xf>
    <xf numFmtId="0" fontId="12" fillId="0" borderId="3" xfId="6" applyFont="1" applyBorder="1" applyAlignment="1">
      <alignment horizontal="center" vertical="center"/>
    </xf>
    <xf numFmtId="0" fontId="14" fillId="15" borderId="7" xfId="6" applyFont="1" applyFill="1" applyBorder="1" applyAlignment="1">
      <alignment horizontal="center" vertical="center"/>
    </xf>
    <xf numFmtId="0" fontId="0" fillId="0" borderId="7" xfId="0" applyBorder="1"/>
    <xf numFmtId="0" fontId="14" fillId="15" borderId="23" xfId="6" applyFont="1" applyFill="1" applyBorder="1" applyAlignment="1">
      <alignment horizontal="center" vertical="center"/>
    </xf>
    <xf numFmtId="0" fontId="21" fillId="13" borderId="1" xfId="6" applyFont="1" applyFill="1" applyBorder="1" applyAlignment="1">
      <alignment horizontal="center" vertical="center"/>
    </xf>
    <xf numFmtId="0" fontId="6" fillId="0" borderId="0" xfId="5" applyFont="1"/>
    <xf numFmtId="0" fontId="14" fillId="12" borderId="17" xfId="11" applyFont="1" applyFill="1" applyBorder="1" applyAlignment="1">
      <alignment horizontal="center"/>
    </xf>
    <xf numFmtId="0" fontId="0" fillId="0" borderId="19" xfId="0" applyBorder="1"/>
    <xf numFmtId="0" fontId="0" fillId="0" borderId="18" xfId="0" applyBorder="1"/>
    <xf numFmtId="0" fontId="12" fillId="2" borderId="3" xfId="0" applyFont="1" applyFill="1" applyBorder="1" applyAlignment="1">
      <alignment horizontal="center" vertical="center" wrapText="1"/>
    </xf>
    <xf numFmtId="0" fontId="45" fillId="2" borderId="3" xfId="0" applyFont="1" applyFill="1" applyBorder="1" applyAlignment="1">
      <alignment horizontal="center" vertical="center" wrapText="1"/>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45" fillId="2" borderId="0" xfId="0" applyFont="1" applyFill="1" applyAlignment="1">
      <alignment vertical="center"/>
    </xf>
    <xf numFmtId="0" fontId="12" fillId="2" borderId="0" xfId="0" applyFont="1" applyFill="1" applyAlignment="1">
      <alignment vertical="center"/>
    </xf>
    <xf numFmtId="0" fontId="30" fillId="3" borderId="3" xfId="3" applyFont="1" applyFill="1" applyBorder="1" applyAlignment="1">
      <alignment horizontal="left"/>
    </xf>
    <xf numFmtId="0" fontId="0" fillId="0" borderId="10" xfId="0" applyBorder="1"/>
    <xf numFmtId="0" fontId="30" fillId="2" borderId="0" xfId="3" applyFont="1" applyFill="1"/>
    <xf numFmtId="0" fontId="30" fillId="5" borderId="3" xfId="3" applyFont="1" applyFill="1" applyBorder="1" applyAlignment="1">
      <alignment horizontal="left"/>
    </xf>
    <xf numFmtId="0" fontId="12" fillId="24" borderId="8" xfId="0" applyFont="1" applyFill="1" applyBorder="1" applyAlignment="1">
      <alignment horizontal="center" vertical="center" wrapText="1"/>
    </xf>
    <xf numFmtId="0" fontId="12" fillId="24" borderId="10" xfId="0" applyFont="1" applyFill="1" applyBorder="1" applyAlignment="1">
      <alignment horizontal="center" vertical="center" wrapText="1"/>
    </xf>
    <xf numFmtId="0" fontId="12" fillId="24" borderId="0" xfId="0" applyFont="1" applyFill="1" applyAlignment="1">
      <alignment horizontal="left" vertical="center"/>
    </xf>
    <xf numFmtId="0" fontId="41" fillId="20" borderId="3" xfId="20" applyFont="1" applyFill="1" applyBorder="1" applyAlignment="1">
      <alignment horizontal="center"/>
    </xf>
    <xf numFmtId="0" fontId="19" fillId="15" borderId="3" xfId="6" applyFont="1" applyFill="1" applyBorder="1" applyAlignment="1">
      <alignment horizontal="center"/>
    </xf>
    <xf numFmtId="0" fontId="23" fillId="15" borderId="24" xfId="6" applyFont="1" applyFill="1" applyBorder="1" applyAlignment="1">
      <alignment horizontal="center"/>
    </xf>
    <xf numFmtId="0" fontId="0" fillId="0" borderId="2" xfId="0" applyBorder="1"/>
    <xf numFmtId="0" fontId="0" fillId="0" borderId="9" xfId="0" applyBorder="1"/>
    <xf numFmtId="0" fontId="26" fillId="14" borderId="3" xfId="6" applyFont="1" applyFill="1" applyBorder="1" applyAlignment="1">
      <alignment horizontal="center"/>
    </xf>
  </cellXfs>
  <cellStyles count="21">
    <cellStyle name="Heading 3 2" xfId="13" xr:uid="{00000000-0005-0000-0000-000036000000}"/>
    <cellStyle name="Heading 3 3" xfId="12" xr:uid="{00000000-0005-0000-0000-000035000000}"/>
    <cellStyle name="Hyperlink" xfId="1" builtinId="8"/>
    <cellStyle name="Normal" xfId="0" builtinId="0"/>
    <cellStyle name="Normal 10" xfId="20" xr:uid="{00000000-0005-0000-0000-00003D000000}"/>
    <cellStyle name="Normal 2" xfId="2" xr:uid="{00000000-0005-0000-0000-000026000000}"/>
    <cellStyle name="Normal 2 2" xfId="6" xr:uid="{00000000-0005-0000-0000-00002F000000}"/>
    <cellStyle name="Normal 3" xfId="3" xr:uid="{00000000-0005-0000-0000-00002C000000}"/>
    <cellStyle name="Normal 3 2" xfId="7" xr:uid="{00000000-0005-0000-0000-000030000000}"/>
    <cellStyle name="Normal 4" xfId="4" xr:uid="{00000000-0005-0000-0000-00002D000000}"/>
    <cellStyle name="Normal 4 2" xfId="14" xr:uid="{00000000-0005-0000-0000-000037000000}"/>
    <cellStyle name="Normal 5" xfId="5" xr:uid="{00000000-0005-0000-0000-00002E000000}"/>
    <cellStyle name="Normal 5 2" xfId="15" xr:uid="{00000000-0005-0000-0000-000038000000}"/>
    <cellStyle name="Normal 6" xfId="8" xr:uid="{00000000-0005-0000-0000-000031000000}"/>
    <cellStyle name="Normal 6 2" xfId="16" xr:uid="{00000000-0005-0000-0000-000039000000}"/>
    <cellStyle name="Normal 7" xfId="9" xr:uid="{00000000-0005-0000-0000-000032000000}"/>
    <cellStyle name="Normal 7 2" xfId="17" xr:uid="{00000000-0005-0000-0000-00003A000000}"/>
    <cellStyle name="Normal 8" xfId="10" xr:uid="{00000000-0005-0000-0000-000033000000}"/>
    <cellStyle name="Normal 8 2" xfId="18" xr:uid="{00000000-0005-0000-0000-00003B000000}"/>
    <cellStyle name="Normal 9" xfId="11" xr:uid="{00000000-0005-0000-0000-000034000000}"/>
    <cellStyle name="Normal 9 2" xfId="19" xr:uid="{00000000-0005-0000-0000-00003C000000}"/>
  </cellStyles>
  <dxfs count="2">
    <dxf>
      <fill>
        <patternFill>
          <bgColor theme="5" tint="0.39994506668294322"/>
        </patternFill>
      </fill>
    </dxf>
    <dxf>
      <fill>
        <patternFill>
          <bgColor theme="6" tint="0.399945066682943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F5F5F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762000</xdr:colOff>
      <xdr:row>3</xdr:row>
      <xdr:rowOff>12700</xdr:rowOff>
    </xdr:from>
    <xdr:to>
      <xdr:col>11</xdr:col>
      <xdr:colOff>241300</xdr:colOff>
      <xdr:row>3</xdr:row>
      <xdr:rowOff>139700</xdr:rowOff>
    </xdr:to>
    <xdr:pic>
      <xdr:nvPicPr>
        <xdr:cNvPr id="64516" name="CheckBox1">
          <a:extLst>
            <a:ext uri="{FF2B5EF4-FFF2-40B4-BE49-F238E27FC236}">
              <a16:creationId xmlns:a16="http://schemas.microsoft.com/office/drawing/2014/main" id="{7EDD4488-2698-38BC-42DF-6FFB6031871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93900" y="742950"/>
          <a:ext cx="7397750" cy="127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762000</xdr:colOff>
      <xdr:row>3</xdr:row>
      <xdr:rowOff>12700</xdr:rowOff>
    </xdr:from>
    <xdr:to>
      <xdr:col>11</xdr:col>
      <xdr:colOff>238125</xdr:colOff>
      <xdr:row>3</xdr:row>
      <xdr:rowOff>142875</xdr:rowOff>
    </xdr:to>
    <xdr:pic>
      <xdr:nvPicPr>
        <xdr:cNvPr id="2" name="CheckBox1">
          <a:extLst>
            <a:ext uri="{FF2B5EF4-FFF2-40B4-BE49-F238E27FC236}">
              <a16:creationId xmlns:a16="http://schemas.microsoft.com/office/drawing/2014/main" id="{7FEF088D-079A-421B-B7AF-1E0E035A9ED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3100" y="736600"/>
          <a:ext cx="7061200" cy="127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Pepsi\2015\15-054944%20BFY%20Study\Data%20Processing\15-054944%20Pepsi%20BFY%20Tab%20Plan%20DRAF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Consultancy%20team/Public/Global%20Tab%20Plan/Global%20Tab%20Analysis%20Plan_Sep25.xlsm" TargetMode="External"/><Relationship Id="rId1" Type="http://schemas.openxmlformats.org/officeDocument/2006/relationships/externalLinkPath" Target="/Consultancy%20team/Public/Global%20Tab%20Plan/Global%20Tab%20Analysis%20Plan_Sep2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Projects\PD%20Forms\Banner%20Spec\Banner%20Spe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 Cover Sheet"/>
      <sheetName val="Tab Specs"/>
      <sheetName val="Demos"/>
      <sheetName val="Banners"/>
      <sheetName val="Nets"/>
    </sheetNames>
    <sheetDataSet>
      <sheetData sheetId="0">
        <row r="2">
          <cell r="AH2" t="str">
            <v>X</v>
          </cell>
          <cell r="AJ2" t="str">
            <v>CATI</v>
          </cell>
          <cell r="AK2" t="str">
            <v>Client List</v>
          </cell>
        </row>
        <row r="5">
          <cell r="AJ5" t="str">
            <v>Internt</v>
          </cell>
          <cell r="AK5" t="str">
            <v>e-Panel</v>
          </cell>
        </row>
        <row r="6">
          <cell r="AJ6" t="str">
            <v>ION</v>
          </cell>
          <cell r="AK6" t="str">
            <v>Field Agency Database</v>
          </cell>
        </row>
        <row r="7">
          <cell r="AJ7" t="str">
            <v>IVR</v>
          </cell>
          <cell r="AK7" t="str">
            <v>Harris Database</v>
          </cell>
        </row>
        <row r="8">
          <cell r="AJ8" t="str">
            <v>Mail</v>
          </cell>
          <cell r="AK8" t="str">
            <v>Mail Panel</v>
          </cell>
        </row>
        <row r="9">
          <cell r="AJ9" t="str">
            <v>Global</v>
          </cell>
          <cell r="AK9" t="str">
            <v>Purchased List</v>
          </cell>
        </row>
        <row r="10">
          <cell r="AI10" t="str">
            <v>Whole</v>
          </cell>
          <cell r="AJ10" t="str">
            <v>Mall</v>
          </cell>
          <cell r="AK10" t="str">
            <v>RDD</v>
          </cell>
        </row>
        <row r="11">
          <cell r="AI11" t="str">
            <v>One</v>
          </cell>
          <cell r="AJ11" t="str">
            <v>Telephone</v>
          </cell>
          <cell r="AK11" t="str">
            <v>Other</v>
          </cell>
        </row>
        <row r="12">
          <cell r="AI12" t="str">
            <v>Two</v>
          </cell>
          <cell r="AJ12" t="str">
            <v>Other</v>
          </cell>
        </row>
        <row r="18">
          <cell r="AD18" t="str">
            <v>One</v>
          </cell>
        </row>
        <row r="19">
          <cell r="AD19" t="str">
            <v>Two</v>
          </cell>
        </row>
        <row r="20">
          <cell r="AD20" t="str">
            <v>Three</v>
          </cell>
        </row>
        <row r="21">
          <cell r="AE21" t="str">
            <v>Vertical % Only</v>
          </cell>
        </row>
        <row r="22">
          <cell r="AE22" t="str">
            <v>Horizontal % Only</v>
          </cell>
        </row>
        <row r="23">
          <cell r="AE23" t="str">
            <v>Both Vertical % and Horizontal %</v>
          </cell>
        </row>
        <row r="26">
          <cell r="AE26" t="str">
            <v>Single Page</v>
          </cell>
        </row>
        <row r="27">
          <cell r="AE27" t="str">
            <v>Back-To-Back</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LOOKUP"/>
      <sheetName val="CLEANING"/>
      <sheetName val="Project Info &amp; Deliverables"/>
      <sheetName val="Stub Spec Preferences"/>
      <sheetName val="STUB SPECS"/>
      <sheetName val="Vertical Stub Specs"/>
      <sheetName val="TOPLINE SPECS"/>
      <sheetName val="GRID SPECS  "/>
      <sheetName val="NETTING GUIDE"/>
      <sheetName val="Weighting"/>
      <sheetName val="BANNER SPECS"/>
      <sheetName val="CE BANNER SPECS "/>
      <sheetName val="IRT Grid"/>
      <sheetName val="Analytic Specs"/>
      <sheetName val="Definitions (2)"/>
      <sheetName val="Definitions"/>
      <sheetName val="Request-Change Log"/>
      <sheetName val="Lists-Hidden (2)"/>
      <sheetName val="Mean Factors Cheat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5">
          <cell r="B5" t="str">
            <v>Online</v>
          </cell>
        </row>
        <row r="6">
          <cell r="B6" t="str">
            <v>CATI</v>
          </cell>
        </row>
        <row r="7">
          <cell r="B7" t="str">
            <v>Paper</v>
          </cell>
        </row>
        <row r="8">
          <cell r="B8" t="str">
            <v>Mixed</v>
          </cell>
        </row>
        <row r="9">
          <cell r="B9" t="str">
            <v>External</v>
          </cell>
        </row>
        <row r="10">
          <cell r="B10" t="str">
            <v>Other</v>
          </cell>
        </row>
        <row r="13">
          <cell r="B13" t="str">
            <v>Yes</v>
          </cell>
        </row>
        <row r="14">
          <cell r="B14" t="str">
            <v>No</v>
          </cell>
        </row>
        <row r="25">
          <cell r="B25" t="str">
            <v>Both frequencies and percentages</v>
          </cell>
        </row>
        <row r="26">
          <cell r="B26" t="str">
            <v>Frequencies only</v>
          </cell>
        </row>
        <row r="27">
          <cell r="B27" t="str">
            <v>Percentages only</v>
          </cell>
        </row>
        <row r="30">
          <cell r="B30" t="str">
            <v>Vertical % only</v>
          </cell>
        </row>
        <row r="31">
          <cell r="B31" t="str">
            <v>Horizontal % only</v>
          </cell>
        </row>
        <row r="32">
          <cell r="B32" t="str">
            <v>Vertical and Horizontal %</v>
          </cell>
        </row>
      </sheetData>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2F"/>
      <sheetName val="Prod Mailing"/>
      <sheetName val="CSS Request"/>
      <sheetName val="Dial Info"/>
      <sheetName val="Input Tables"/>
      <sheetName val="Custom Sample Variables"/>
      <sheetName val="Sheet2"/>
      <sheetName val="CSS Layout"/>
      <sheetName val="Project Schedule (F2F)"/>
      <sheetName val="Project Event Form (F2F)"/>
      <sheetName val="List"/>
      <sheetName val="PEF Definitions"/>
      <sheetName val="CS Division"/>
      <sheetName val="DP Coversheet"/>
      <sheetName val="Banners"/>
      <sheetName val="Tab Sp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Yes</v>
          </cell>
          <cell r="N2" t="str">
            <v>Ipsos</v>
          </cell>
          <cell r="AP2" t="str">
            <v>Ipsos</v>
          </cell>
        </row>
        <row r="3">
          <cell r="C3" t="str">
            <v>No</v>
          </cell>
          <cell r="N3" t="str">
            <v>Generic</v>
          </cell>
          <cell r="AP3" t="str">
            <v>Client</v>
          </cell>
        </row>
        <row r="4">
          <cell r="C4" t="str">
            <v>N/A</v>
          </cell>
          <cell r="AP4" t="str">
            <v xml:space="preserve">Vendor </v>
          </cell>
        </row>
      </sheetData>
      <sheetData sheetId="11" refreshError="1"/>
      <sheetData sheetId="12" refreshError="1"/>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L79"/>
  <sheetViews>
    <sheetView showGridLines="0" zoomScaleNormal="100" workbookViewId="0">
      <selection activeCell="N17" sqref="N17"/>
    </sheetView>
  </sheetViews>
  <sheetFormatPr defaultColWidth="9.1796875" defaultRowHeight="14.5" x14ac:dyDescent="0.35"/>
  <cols>
    <col min="1" max="1" width="32.54296875" style="1" customWidth="1"/>
    <col min="2" max="2" width="3.54296875" style="1" bestFit="1" customWidth="1"/>
    <col min="3" max="3" width="45.26953125" style="1" customWidth="1"/>
    <col min="4" max="4" width="2.453125" style="1" customWidth="1"/>
    <col min="5" max="5" width="3.26953125" style="1" customWidth="1"/>
    <col min="6" max="6" width="41.1796875" style="1" customWidth="1"/>
    <col min="7" max="7" width="3.54296875" style="1" bestFit="1" customWidth="1"/>
    <col min="8" max="8" width="43.7265625" style="1" customWidth="1"/>
    <col min="9" max="9" width="1" style="1" customWidth="1"/>
    <col min="10" max="10" width="9.1796875" style="1" customWidth="1"/>
    <col min="11" max="11" width="7" style="1" hidden="1" customWidth="1"/>
    <col min="12" max="12" width="9.1796875" style="1" customWidth="1"/>
    <col min="13" max="16384" width="9.1796875" style="1"/>
  </cols>
  <sheetData>
    <row r="1" spans="1:12" x14ac:dyDescent="0.35">
      <c r="A1" s="177" t="s">
        <v>0</v>
      </c>
      <c r="B1" s="178"/>
      <c r="C1" s="178"/>
      <c r="D1" s="178"/>
      <c r="E1" s="178"/>
      <c r="F1" s="178"/>
      <c r="G1" s="178"/>
      <c r="H1" s="178"/>
      <c r="I1" s="178"/>
    </row>
    <row r="2" spans="1:12" ht="15.75" customHeight="1" thickBot="1" x14ac:dyDescent="0.4">
      <c r="A2" s="2" t="s">
        <v>1</v>
      </c>
      <c r="B2" s="2"/>
      <c r="C2" s="3"/>
      <c r="D2" s="2"/>
      <c r="E2" s="2"/>
      <c r="F2" s="2"/>
      <c r="G2" s="3"/>
      <c r="H2" s="2"/>
      <c r="I2" s="23"/>
    </row>
    <row r="3" spans="1:12" x14ac:dyDescent="0.35">
      <c r="A3" s="171" t="s">
        <v>2</v>
      </c>
      <c r="B3" s="168"/>
      <c r="C3" s="168"/>
      <c r="D3" s="169"/>
      <c r="E3" s="2"/>
      <c r="F3" s="170" t="s">
        <v>3</v>
      </c>
      <c r="G3" s="168"/>
      <c r="H3" s="168"/>
      <c r="I3" s="169"/>
    </row>
    <row r="4" spans="1:12" x14ac:dyDescent="0.35">
      <c r="A4" s="52" t="s">
        <v>4</v>
      </c>
      <c r="B4" s="172" t="s">
        <v>1294</v>
      </c>
      <c r="C4" s="166"/>
      <c r="D4" s="53"/>
      <c r="E4" s="2"/>
      <c r="F4" s="33" t="s">
        <v>5</v>
      </c>
      <c r="G4" s="34" t="s">
        <v>6</v>
      </c>
      <c r="H4" s="35"/>
      <c r="I4" s="36"/>
    </row>
    <row r="5" spans="1:12" x14ac:dyDescent="0.35">
      <c r="A5" s="52" t="s">
        <v>7</v>
      </c>
      <c r="B5" s="172" t="s">
        <v>1295</v>
      </c>
      <c r="C5" s="166"/>
      <c r="D5" s="53"/>
      <c r="E5" s="2"/>
      <c r="F5" s="37" t="s">
        <v>8</v>
      </c>
      <c r="G5" s="26" t="s">
        <v>6</v>
      </c>
      <c r="H5" s="35"/>
      <c r="I5" s="36"/>
      <c r="K5" s="4" t="s">
        <v>9</v>
      </c>
    </row>
    <row r="6" spans="1:12" x14ac:dyDescent="0.35">
      <c r="A6" s="52" t="s">
        <v>10</v>
      </c>
      <c r="B6" s="172" t="s">
        <v>554</v>
      </c>
      <c r="C6" s="166"/>
      <c r="D6" s="53"/>
      <c r="E6" s="2"/>
      <c r="F6" s="33"/>
      <c r="G6" s="38"/>
      <c r="H6" s="35"/>
      <c r="I6" s="36"/>
      <c r="K6" s="4" t="s">
        <v>11</v>
      </c>
    </row>
    <row r="7" spans="1:12" x14ac:dyDescent="0.35">
      <c r="A7" s="52" t="s">
        <v>12</v>
      </c>
      <c r="B7" s="172" t="s">
        <v>1258</v>
      </c>
      <c r="C7" s="166"/>
      <c r="D7" s="53"/>
      <c r="E7" s="2"/>
      <c r="F7" s="37" t="s">
        <v>13</v>
      </c>
      <c r="G7" s="27"/>
      <c r="H7" s="28"/>
      <c r="I7" s="36"/>
      <c r="K7" s="5" t="s">
        <v>14</v>
      </c>
    </row>
    <row r="8" spans="1:12" x14ac:dyDescent="0.35">
      <c r="A8" s="52" t="s">
        <v>15</v>
      </c>
      <c r="B8" s="172" t="s">
        <v>49</v>
      </c>
      <c r="C8" s="166"/>
      <c r="D8" s="53"/>
      <c r="E8" s="2"/>
      <c r="F8" s="37" t="s">
        <v>16</v>
      </c>
      <c r="G8" s="27"/>
      <c r="H8" s="28"/>
      <c r="I8" s="36"/>
      <c r="K8" s="5" t="s">
        <v>17</v>
      </c>
    </row>
    <row r="9" spans="1:12" ht="15" customHeight="1" x14ac:dyDescent="0.35">
      <c r="A9" s="52" t="s">
        <v>18</v>
      </c>
      <c r="B9" s="172"/>
      <c r="C9" s="166"/>
      <c r="D9" s="53"/>
      <c r="E9" s="2"/>
      <c r="F9" s="37"/>
      <c r="G9" s="39"/>
      <c r="H9" s="35"/>
      <c r="I9" s="36"/>
      <c r="K9" s="5" t="s">
        <v>19</v>
      </c>
    </row>
    <row r="10" spans="1:12" x14ac:dyDescent="0.35">
      <c r="A10" s="52" t="s">
        <v>20</v>
      </c>
      <c r="B10" s="172" t="s">
        <v>1296</v>
      </c>
      <c r="C10" s="166"/>
      <c r="D10" s="53"/>
      <c r="E10" s="2"/>
      <c r="F10" s="33" t="s">
        <v>21</v>
      </c>
      <c r="G10" s="34" t="s">
        <v>6</v>
      </c>
      <c r="H10" s="34" t="s">
        <v>22</v>
      </c>
      <c r="I10" s="36"/>
      <c r="K10" s="5" t="s">
        <v>23</v>
      </c>
    </row>
    <row r="11" spans="1:12" ht="17.25" customHeight="1" x14ac:dyDescent="0.35">
      <c r="A11" s="52" t="s">
        <v>24</v>
      </c>
      <c r="B11" s="172" t="s">
        <v>1297</v>
      </c>
      <c r="C11" s="166"/>
      <c r="D11" s="53"/>
      <c r="E11" s="2"/>
      <c r="F11" s="37" t="s">
        <v>25</v>
      </c>
      <c r="G11" s="26"/>
      <c r="H11" s="29"/>
      <c r="I11" s="36"/>
      <c r="K11" s="5" t="s">
        <v>26</v>
      </c>
    </row>
    <row r="12" spans="1:12" x14ac:dyDescent="0.35">
      <c r="A12" s="52" t="s">
        <v>27</v>
      </c>
      <c r="B12" s="172"/>
      <c r="C12" s="166"/>
      <c r="D12" s="53"/>
      <c r="E12" s="2"/>
      <c r="F12" s="37" t="s">
        <v>28</v>
      </c>
      <c r="G12" s="26"/>
      <c r="H12" s="29"/>
      <c r="I12" s="36"/>
      <c r="K12" s="6" t="s">
        <v>29</v>
      </c>
    </row>
    <row r="13" spans="1:12" ht="15.75" customHeight="1" thickBot="1" x14ac:dyDescent="0.4">
      <c r="A13" s="54"/>
      <c r="B13" s="55"/>
      <c r="C13" s="55"/>
      <c r="D13" s="56"/>
      <c r="E13" s="2"/>
      <c r="F13" s="37" t="s">
        <v>30</v>
      </c>
      <c r="G13" s="26"/>
      <c r="H13" s="29"/>
      <c r="I13" s="36"/>
    </row>
    <row r="14" spans="1:12" ht="15.75" customHeight="1" thickBot="1" x14ac:dyDescent="0.4">
      <c r="A14" s="2"/>
      <c r="B14" s="2"/>
      <c r="C14" s="3"/>
      <c r="D14" s="2"/>
      <c r="E14" s="2"/>
      <c r="F14" s="37" t="s">
        <v>31</v>
      </c>
      <c r="G14" s="26"/>
      <c r="H14" s="29"/>
      <c r="I14" s="36"/>
    </row>
    <row r="15" spans="1:12" x14ac:dyDescent="0.35">
      <c r="A15" s="176" t="s">
        <v>32</v>
      </c>
      <c r="B15" s="168"/>
      <c r="C15" s="168"/>
      <c r="D15" s="169"/>
      <c r="E15" s="2"/>
      <c r="F15" s="37"/>
      <c r="G15" s="40"/>
      <c r="H15" s="41"/>
      <c r="I15" s="36"/>
      <c r="L15" s="107"/>
    </row>
    <row r="16" spans="1:12" x14ac:dyDescent="0.35">
      <c r="A16" s="57"/>
      <c r="B16" s="174" t="s">
        <v>33</v>
      </c>
      <c r="C16" s="175"/>
      <c r="D16" s="58"/>
      <c r="E16" s="2"/>
      <c r="F16" s="42" t="s">
        <v>34</v>
      </c>
      <c r="G16" s="34" t="s">
        <v>6</v>
      </c>
      <c r="H16" s="41"/>
      <c r="I16" s="36"/>
    </row>
    <row r="17" spans="1:9" x14ac:dyDescent="0.35">
      <c r="A17" s="59" t="s">
        <v>35</v>
      </c>
      <c r="B17" s="173" t="s">
        <v>36</v>
      </c>
      <c r="C17" s="166"/>
      <c r="D17" s="58"/>
      <c r="E17" s="2"/>
      <c r="F17" s="43" t="s">
        <v>37</v>
      </c>
      <c r="G17" s="26"/>
      <c r="H17" s="30"/>
      <c r="I17" s="44"/>
    </row>
    <row r="18" spans="1:9" x14ac:dyDescent="0.35">
      <c r="A18" s="59" t="s">
        <v>38</v>
      </c>
      <c r="B18" s="173" t="s">
        <v>39</v>
      </c>
      <c r="C18" s="166"/>
      <c r="D18" s="58"/>
      <c r="E18" s="2"/>
      <c r="F18" s="45" t="s">
        <v>40</v>
      </c>
      <c r="G18" s="26"/>
      <c r="H18" s="30"/>
      <c r="I18" s="44"/>
    </row>
    <row r="19" spans="1:9" x14ac:dyDescent="0.35">
      <c r="A19" s="59" t="s">
        <v>41</v>
      </c>
      <c r="B19" s="173" t="s">
        <v>42</v>
      </c>
      <c r="C19" s="166"/>
      <c r="D19" s="58"/>
      <c r="E19" s="2"/>
      <c r="F19" s="43" t="s">
        <v>43</v>
      </c>
      <c r="G19" s="26"/>
      <c r="H19" s="30"/>
      <c r="I19" s="44"/>
    </row>
    <row r="20" spans="1:9" ht="15" customHeight="1" x14ac:dyDescent="0.35">
      <c r="A20" s="59" t="s">
        <v>44</v>
      </c>
      <c r="B20" s="173"/>
      <c r="C20" s="166"/>
      <c r="D20" s="58"/>
      <c r="E20" s="2"/>
      <c r="F20" s="43" t="s">
        <v>45</v>
      </c>
      <c r="G20" s="26"/>
      <c r="H20" s="30"/>
      <c r="I20" s="44"/>
    </row>
    <row r="21" spans="1:9" x14ac:dyDescent="0.35">
      <c r="A21" s="59" t="s">
        <v>46</v>
      </c>
      <c r="B21" s="173"/>
      <c r="C21" s="166"/>
      <c r="D21" s="58"/>
      <c r="E21" s="2"/>
      <c r="F21" s="43" t="s">
        <v>47</v>
      </c>
      <c r="G21" s="26"/>
      <c r="H21" s="30"/>
      <c r="I21" s="44"/>
    </row>
    <row r="22" spans="1:9" x14ac:dyDescent="0.35">
      <c r="A22" s="59" t="s">
        <v>48</v>
      </c>
      <c r="B22" s="165" t="s">
        <v>49</v>
      </c>
      <c r="C22" s="166"/>
      <c r="D22" s="58"/>
      <c r="E22" s="2"/>
      <c r="F22" s="43" t="s">
        <v>50</v>
      </c>
      <c r="G22" s="26"/>
      <c r="H22" s="30"/>
      <c r="I22" s="44"/>
    </row>
    <row r="23" spans="1:9" x14ac:dyDescent="0.35">
      <c r="A23" s="59" t="s">
        <v>51</v>
      </c>
      <c r="B23" s="173" t="s">
        <v>6</v>
      </c>
      <c r="C23" s="166"/>
      <c r="D23" s="58"/>
      <c r="E23" s="2"/>
      <c r="F23" s="43" t="s">
        <v>52</v>
      </c>
      <c r="G23" s="26"/>
      <c r="H23" s="30"/>
      <c r="I23" s="44"/>
    </row>
    <row r="24" spans="1:9" ht="17.25" customHeight="1" thickBot="1" x14ac:dyDescent="0.4">
      <c r="A24" s="60"/>
      <c r="B24" s="61"/>
      <c r="C24" s="61"/>
      <c r="D24" s="62"/>
      <c r="E24" s="2"/>
      <c r="F24" s="43" t="s">
        <v>53</v>
      </c>
      <c r="G24" s="26"/>
      <c r="H24" s="30"/>
      <c r="I24" s="44"/>
    </row>
    <row r="25" spans="1:9" ht="15.75" customHeight="1" thickBot="1" x14ac:dyDescent="0.4">
      <c r="A25" s="2"/>
      <c r="B25" s="2"/>
      <c r="C25" s="3"/>
      <c r="D25" s="2"/>
      <c r="E25" s="2"/>
      <c r="F25" s="43" t="s">
        <v>54</v>
      </c>
      <c r="G25" s="26"/>
      <c r="H25" s="30"/>
      <c r="I25" s="44"/>
    </row>
    <row r="26" spans="1:9" x14ac:dyDescent="0.35">
      <c r="A26" s="167" t="s">
        <v>55</v>
      </c>
      <c r="B26" s="168"/>
      <c r="C26" s="168"/>
      <c r="D26" s="169"/>
      <c r="E26" s="2"/>
      <c r="F26" s="43" t="s">
        <v>56</v>
      </c>
      <c r="G26" s="26"/>
      <c r="H26" s="30"/>
      <c r="I26" s="44"/>
    </row>
    <row r="27" spans="1:9" x14ac:dyDescent="0.35">
      <c r="A27" s="63"/>
      <c r="B27" s="64"/>
      <c r="C27" s="64"/>
      <c r="D27" s="65"/>
      <c r="E27" s="2"/>
      <c r="F27" s="43" t="s">
        <v>57</v>
      </c>
      <c r="G27" s="26"/>
      <c r="H27" s="30"/>
      <c r="I27" s="44"/>
    </row>
    <row r="28" spans="1:9" x14ac:dyDescent="0.35">
      <c r="A28" s="63"/>
      <c r="B28" s="64"/>
      <c r="C28" s="64"/>
      <c r="D28" s="65"/>
      <c r="E28" s="2"/>
      <c r="F28" s="43" t="s">
        <v>58</v>
      </c>
      <c r="G28" s="26"/>
      <c r="H28" s="30"/>
      <c r="I28" s="44"/>
    </row>
    <row r="29" spans="1:9" x14ac:dyDescent="0.35">
      <c r="A29" s="63"/>
      <c r="B29" s="64"/>
      <c r="C29" s="64"/>
      <c r="D29" s="65"/>
      <c r="E29" s="2"/>
      <c r="F29" s="43" t="s">
        <v>59</v>
      </c>
      <c r="G29" s="26"/>
      <c r="H29" s="30"/>
      <c r="I29" s="44"/>
    </row>
    <row r="30" spans="1:9" x14ac:dyDescent="0.35">
      <c r="A30" s="63"/>
      <c r="B30" s="64"/>
      <c r="C30" s="64"/>
      <c r="D30" s="65"/>
      <c r="E30" s="2"/>
      <c r="F30" s="46"/>
      <c r="G30" s="26"/>
      <c r="H30" s="30"/>
      <c r="I30" s="44"/>
    </row>
    <row r="31" spans="1:9" x14ac:dyDescent="0.35">
      <c r="A31" s="63"/>
      <c r="B31" s="64"/>
      <c r="C31" s="64"/>
      <c r="D31" s="65"/>
      <c r="E31" s="2"/>
      <c r="F31" s="46"/>
      <c r="G31" s="47"/>
      <c r="H31" s="48"/>
      <c r="I31" s="44"/>
    </row>
    <row r="32" spans="1:9" x14ac:dyDescent="0.35">
      <c r="A32" s="66"/>
      <c r="B32" s="64"/>
      <c r="C32" s="64"/>
      <c r="D32" s="65"/>
      <c r="E32" s="2"/>
      <c r="F32" s="42" t="s">
        <v>60</v>
      </c>
      <c r="G32" s="34" t="s">
        <v>6</v>
      </c>
      <c r="H32" s="41"/>
      <c r="I32" s="44"/>
    </row>
    <row r="33" spans="1:9" x14ac:dyDescent="0.35">
      <c r="A33" s="66"/>
      <c r="B33" s="64"/>
      <c r="C33" s="64"/>
      <c r="D33" s="65"/>
      <c r="E33" s="2"/>
      <c r="F33" s="43" t="s">
        <v>61</v>
      </c>
      <c r="G33" s="26"/>
      <c r="H33" s="30"/>
      <c r="I33" s="44"/>
    </row>
    <row r="34" spans="1:9" x14ac:dyDescent="0.35">
      <c r="A34" s="63"/>
      <c r="B34" s="64"/>
      <c r="C34" s="64"/>
      <c r="D34" s="65"/>
      <c r="E34" s="2"/>
      <c r="F34" s="43" t="s">
        <v>62</v>
      </c>
      <c r="G34" s="26"/>
      <c r="H34" s="30"/>
      <c r="I34" s="44"/>
    </row>
    <row r="35" spans="1:9" x14ac:dyDescent="0.35">
      <c r="A35" s="63"/>
      <c r="B35" s="64"/>
      <c r="C35" s="64"/>
      <c r="D35" s="65"/>
      <c r="E35" s="2"/>
      <c r="F35" s="43" t="s">
        <v>63</v>
      </c>
      <c r="G35" s="26"/>
      <c r="H35" s="30"/>
      <c r="I35" s="44"/>
    </row>
    <row r="36" spans="1:9" x14ac:dyDescent="0.35">
      <c r="A36" s="63"/>
      <c r="B36" s="64"/>
      <c r="C36" s="64"/>
      <c r="D36" s="65"/>
      <c r="E36" s="2"/>
      <c r="F36" s="43" t="s">
        <v>64</v>
      </c>
      <c r="G36" s="26"/>
      <c r="H36" s="30"/>
      <c r="I36" s="44"/>
    </row>
    <row r="37" spans="1:9" x14ac:dyDescent="0.35">
      <c r="A37" s="63"/>
      <c r="B37" s="64"/>
      <c r="C37" s="64"/>
      <c r="D37" s="65"/>
      <c r="E37" s="2"/>
      <c r="F37" s="43" t="s">
        <v>65</v>
      </c>
      <c r="G37" s="26"/>
      <c r="H37" s="30"/>
      <c r="I37" s="44"/>
    </row>
    <row r="38" spans="1:9" x14ac:dyDescent="0.35">
      <c r="A38" s="67"/>
      <c r="B38" s="64"/>
      <c r="C38" s="64"/>
      <c r="D38" s="65"/>
      <c r="E38" s="2"/>
      <c r="F38" s="43" t="s">
        <v>66</v>
      </c>
      <c r="G38" s="26"/>
      <c r="H38" s="30"/>
      <c r="I38" s="44"/>
    </row>
    <row r="39" spans="1:9" x14ac:dyDescent="0.35">
      <c r="A39" s="67"/>
      <c r="B39" s="64"/>
      <c r="C39" s="64"/>
      <c r="D39" s="65"/>
      <c r="E39" s="2"/>
      <c r="F39" s="43" t="s">
        <v>67</v>
      </c>
      <c r="G39" s="26"/>
      <c r="H39" s="30"/>
      <c r="I39" s="44"/>
    </row>
    <row r="40" spans="1:9" x14ac:dyDescent="0.35">
      <c r="A40" s="67"/>
      <c r="B40" s="64"/>
      <c r="C40" s="64"/>
      <c r="D40" s="65"/>
      <c r="E40" s="2"/>
      <c r="F40" s="43" t="s">
        <v>68</v>
      </c>
      <c r="G40" s="26"/>
      <c r="H40" s="30"/>
      <c r="I40" s="44"/>
    </row>
    <row r="41" spans="1:9" x14ac:dyDescent="0.35">
      <c r="A41" s="67"/>
      <c r="B41" s="68"/>
      <c r="C41" s="68"/>
      <c r="D41" s="65"/>
      <c r="E41" s="2"/>
      <c r="F41" s="43" t="s">
        <v>69</v>
      </c>
      <c r="G41" s="26"/>
      <c r="H41" s="30"/>
      <c r="I41" s="44"/>
    </row>
    <row r="42" spans="1:9" x14ac:dyDescent="0.35">
      <c r="A42" s="67"/>
      <c r="B42" s="68"/>
      <c r="C42" s="68"/>
      <c r="D42" s="65"/>
      <c r="E42" s="2"/>
      <c r="F42" s="43" t="s">
        <v>70</v>
      </c>
      <c r="G42" s="26"/>
      <c r="H42" s="30"/>
      <c r="I42" s="44"/>
    </row>
    <row r="43" spans="1:9" x14ac:dyDescent="0.35">
      <c r="A43" s="67"/>
      <c r="B43" s="68"/>
      <c r="C43" s="68"/>
      <c r="D43" s="65"/>
      <c r="E43" s="2"/>
      <c r="F43" s="43" t="s">
        <v>71</v>
      </c>
      <c r="G43" s="26"/>
      <c r="H43" s="30"/>
      <c r="I43" s="44"/>
    </row>
    <row r="44" spans="1:9" x14ac:dyDescent="0.35">
      <c r="A44" s="67"/>
      <c r="B44" s="68"/>
      <c r="C44" s="68"/>
      <c r="D44" s="65"/>
      <c r="E44" s="2"/>
      <c r="F44" s="43" t="s">
        <v>72</v>
      </c>
      <c r="G44" s="26"/>
      <c r="H44" s="30"/>
      <c r="I44" s="44"/>
    </row>
    <row r="45" spans="1:9" x14ac:dyDescent="0.35">
      <c r="A45" s="67"/>
      <c r="B45" s="68"/>
      <c r="C45" s="68"/>
      <c r="D45" s="65"/>
      <c r="E45" s="2"/>
      <c r="F45" s="43" t="s">
        <v>73</v>
      </c>
      <c r="G45" s="26"/>
      <c r="H45" s="30"/>
      <c r="I45" s="44"/>
    </row>
    <row r="46" spans="1:9" x14ac:dyDescent="0.35">
      <c r="A46" s="67"/>
      <c r="B46" s="68"/>
      <c r="C46" s="68"/>
      <c r="D46" s="65"/>
      <c r="E46" s="2"/>
      <c r="F46" s="43" t="s">
        <v>74</v>
      </c>
      <c r="G46" s="26"/>
      <c r="H46" s="30"/>
      <c r="I46" s="44"/>
    </row>
    <row r="47" spans="1:9" x14ac:dyDescent="0.35">
      <c r="A47" s="67"/>
      <c r="B47" s="68"/>
      <c r="C47" s="68"/>
      <c r="D47" s="65"/>
      <c r="E47" s="2"/>
      <c r="F47" s="43" t="s">
        <v>75</v>
      </c>
      <c r="G47" s="26"/>
      <c r="H47" s="30"/>
      <c r="I47" s="44"/>
    </row>
    <row r="48" spans="1:9" x14ac:dyDescent="0.35">
      <c r="A48" s="67"/>
      <c r="B48" s="68"/>
      <c r="C48" s="68"/>
      <c r="D48" s="65"/>
      <c r="E48" s="2"/>
      <c r="F48" s="43" t="s">
        <v>76</v>
      </c>
      <c r="G48" s="26"/>
      <c r="H48" s="30"/>
      <c r="I48" s="44"/>
    </row>
    <row r="49" spans="1:9" x14ac:dyDescent="0.35">
      <c r="A49" s="67"/>
      <c r="B49" s="68"/>
      <c r="C49" s="68"/>
      <c r="D49" s="65"/>
      <c r="E49" s="2"/>
      <c r="F49" s="43" t="s">
        <v>77</v>
      </c>
      <c r="G49" s="26"/>
      <c r="H49" s="30"/>
      <c r="I49" s="44"/>
    </row>
    <row r="50" spans="1:9" x14ac:dyDescent="0.35">
      <c r="A50" s="67"/>
      <c r="B50" s="68"/>
      <c r="C50" s="68"/>
      <c r="D50" s="65"/>
      <c r="E50" s="2"/>
      <c r="F50" s="43" t="s">
        <v>78</v>
      </c>
      <c r="G50" s="26"/>
      <c r="H50" s="30"/>
      <c r="I50" s="44"/>
    </row>
    <row r="51" spans="1:9" x14ac:dyDescent="0.35">
      <c r="A51" s="67"/>
      <c r="B51" s="68"/>
      <c r="C51" s="68"/>
      <c r="D51" s="65"/>
      <c r="E51" s="2"/>
      <c r="F51" s="43" t="s">
        <v>79</v>
      </c>
      <c r="G51" s="26"/>
      <c r="H51" s="30"/>
      <c r="I51" s="44"/>
    </row>
    <row r="52" spans="1:9" x14ac:dyDescent="0.35">
      <c r="A52" s="67"/>
      <c r="B52" s="68"/>
      <c r="C52" s="68"/>
      <c r="D52" s="65"/>
      <c r="E52" s="2"/>
      <c r="F52" s="43" t="s">
        <v>80</v>
      </c>
      <c r="G52" s="31"/>
      <c r="H52" s="32"/>
      <c r="I52" s="44"/>
    </row>
    <row r="53" spans="1:9" x14ac:dyDescent="0.35">
      <c r="A53" s="67"/>
      <c r="B53" s="68"/>
      <c r="C53" s="68"/>
      <c r="D53" s="65"/>
      <c r="E53" s="2"/>
      <c r="F53" s="43" t="s">
        <v>81</v>
      </c>
      <c r="G53" s="31"/>
      <c r="H53" s="32"/>
      <c r="I53" s="44"/>
    </row>
    <row r="54" spans="1:9" ht="15" customHeight="1" thickBot="1" x14ac:dyDescent="0.4">
      <c r="A54" s="69"/>
      <c r="B54" s="70"/>
      <c r="C54" s="70"/>
      <c r="D54" s="71"/>
      <c r="E54" s="2"/>
      <c r="F54" s="49"/>
      <c r="G54" s="50"/>
      <c r="H54" s="50"/>
      <c r="I54" s="51"/>
    </row>
    <row r="55" spans="1:9" x14ac:dyDescent="0.35">
      <c r="A55" s="23"/>
      <c r="B55" s="23"/>
      <c r="C55" s="23"/>
      <c r="D55" s="2"/>
      <c r="E55" s="2"/>
      <c r="F55" s="133"/>
      <c r="G55" s="3"/>
      <c r="H55" s="2"/>
    </row>
    <row r="56" spans="1:9" x14ac:dyDescent="0.35">
      <c r="A56" s="24"/>
      <c r="B56" s="25"/>
      <c r="C56" s="25"/>
      <c r="D56" s="25"/>
      <c r="E56" s="2"/>
      <c r="H56" s="2"/>
    </row>
    <row r="57" spans="1:9" x14ac:dyDescent="0.35">
      <c r="A57" s="23"/>
      <c r="B57" s="23"/>
      <c r="C57" s="23"/>
      <c r="D57" s="23"/>
      <c r="E57" s="2"/>
      <c r="H57" s="2"/>
    </row>
    <row r="58" spans="1:9" x14ac:dyDescent="0.35">
      <c r="A58" s="23"/>
      <c r="B58" s="23"/>
      <c r="C58" s="23"/>
      <c r="D58" s="2"/>
      <c r="E58" s="2"/>
      <c r="H58" s="2"/>
    </row>
    <row r="59" spans="1:9" x14ac:dyDescent="0.35">
      <c r="D59" s="2"/>
      <c r="E59" s="2"/>
    </row>
    <row r="60" spans="1:9" x14ac:dyDescent="0.35">
      <c r="D60" s="2"/>
      <c r="E60" s="2"/>
    </row>
    <row r="61" spans="1:9" x14ac:dyDescent="0.35">
      <c r="D61" s="2"/>
      <c r="E61" s="2"/>
    </row>
    <row r="62" spans="1:9" x14ac:dyDescent="0.35">
      <c r="E62" s="2"/>
    </row>
    <row r="63" spans="1:9" x14ac:dyDescent="0.35">
      <c r="E63" s="2"/>
    </row>
    <row r="64" spans="1:9" x14ac:dyDescent="0.35">
      <c r="E64" s="2"/>
    </row>
    <row r="65" spans="5:5" x14ac:dyDescent="0.35">
      <c r="E65" s="2"/>
    </row>
    <row r="66" spans="5:5" x14ac:dyDescent="0.35">
      <c r="E66" s="2"/>
    </row>
    <row r="67" spans="5:5" x14ac:dyDescent="0.35">
      <c r="E67" s="2"/>
    </row>
    <row r="68" spans="5:5" x14ac:dyDescent="0.35">
      <c r="E68" s="2"/>
    </row>
    <row r="69" spans="5:5" x14ac:dyDescent="0.35">
      <c r="E69" s="2"/>
    </row>
    <row r="70" spans="5:5" x14ac:dyDescent="0.35">
      <c r="E70" s="2"/>
    </row>
    <row r="71" spans="5:5" x14ac:dyDescent="0.35">
      <c r="E71" s="2"/>
    </row>
    <row r="72" spans="5:5" x14ac:dyDescent="0.35">
      <c r="E72" s="2"/>
    </row>
    <row r="73" spans="5:5" x14ac:dyDescent="0.35">
      <c r="E73" s="2"/>
    </row>
    <row r="74" spans="5:5" x14ac:dyDescent="0.35">
      <c r="E74" s="2"/>
    </row>
    <row r="75" spans="5:5" x14ac:dyDescent="0.35">
      <c r="E75" s="2"/>
    </row>
    <row r="76" spans="5:5" x14ac:dyDescent="0.35">
      <c r="E76" s="2"/>
    </row>
    <row r="77" spans="5:5" x14ac:dyDescent="0.35">
      <c r="E77" s="2"/>
    </row>
    <row r="78" spans="5:5" ht="6" customHeight="1" x14ac:dyDescent="0.35">
      <c r="E78" s="2"/>
    </row>
    <row r="79" spans="5:5" x14ac:dyDescent="0.35">
      <c r="E79" s="2"/>
    </row>
  </sheetData>
  <mergeCells count="22">
    <mergeCell ref="A15:D15"/>
    <mergeCell ref="A1:I1"/>
    <mergeCell ref="B21:C21"/>
    <mergeCell ref="B18:C18"/>
    <mergeCell ref="B20:C20"/>
    <mergeCell ref="B19:C19"/>
    <mergeCell ref="B22:C22"/>
    <mergeCell ref="A26:D26"/>
    <mergeCell ref="F3:I3"/>
    <mergeCell ref="A3:D3"/>
    <mergeCell ref="B4:C4"/>
    <mergeCell ref="B5:C5"/>
    <mergeCell ref="B17:C17"/>
    <mergeCell ref="B12:C12"/>
    <mergeCell ref="B6:C6"/>
    <mergeCell ref="B7:C7"/>
    <mergeCell ref="B8:C8"/>
    <mergeCell ref="B9:C9"/>
    <mergeCell ref="B10:C10"/>
    <mergeCell ref="B11:C11"/>
    <mergeCell ref="B23:C23"/>
    <mergeCell ref="B16:C16"/>
  </mergeCells>
  <dataValidations count="6">
    <dataValidation showInputMessage="1" showErrorMessage="1" sqref="A18:A19" xr:uid="{00000000-0002-0000-0000-000000000000}"/>
    <dataValidation type="list" allowBlank="1" showInputMessage="1" showErrorMessage="1" sqref="B8:C8" xr:uid="{00000000-0002-0000-0000-000001000000}">
      <formula1>YN</formula1>
    </dataValidation>
    <dataValidation type="list" allowBlank="1" showInputMessage="1" showErrorMessage="1" sqref="B22:C23" xr:uid="{00000000-0002-0000-0000-000002000000}">
      <formula1>"Yes,No"</formula1>
    </dataValidation>
    <dataValidation type="list" allowBlank="1" showInputMessage="1" showErrorMessage="1" sqref="B18:C18" xr:uid="{00000000-0002-0000-0000-000003000000}">
      <formula1>"Vertical % only,Horizontal % only,Vertical and Horizontal %"</formula1>
    </dataValidation>
    <dataValidation type="list" allowBlank="1" showInputMessage="1" showErrorMessage="1" sqref="B17:C17" xr:uid="{00000000-0002-0000-0000-000004000000}">
      <formula1>"Both frequencies and percentages,Frequencies only,Percentages only"</formula1>
    </dataValidation>
    <dataValidation type="list" allowBlank="1" showInputMessage="1" showErrorMessage="1" sqref="B19:C19" xr:uid="{00000000-0002-0000-0000-000005000000}">
      <formula1>"Within the body of the table,At the bottom"</formula1>
    </dataValidation>
  </dataValidations>
  <pageMargins left="0.7" right="0.7"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9D9C"/>
  </sheetPr>
  <dimension ref="A1:AQ47"/>
  <sheetViews>
    <sheetView showGridLines="0" tabSelected="1" workbookViewId="0">
      <pane xSplit="3" ySplit="2" topLeftCell="Q33" activePane="bottomRight" state="frozen"/>
      <selection pane="topRight" activeCell="D3" sqref="D3"/>
      <selection pane="bottomLeft" activeCell="A3" sqref="A3"/>
      <selection pane="bottomRight" activeCell="C43" sqref="C43"/>
    </sheetView>
  </sheetViews>
  <sheetFormatPr defaultColWidth="8.81640625" defaultRowHeight="13" x14ac:dyDescent="0.3"/>
  <cols>
    <col min="1" max="1" width="6.1796875" style="8" customWidth="1"/>
    <col min="2" max="2" width="5.26953125" style="8" bestFit="1" customWidth="1"/>
    <col min="3" max="3" width="35.7265625" style="8" customWidth="1"/>
    <col min="4" max="4" width="49.81640625" style="9" customWidth="1"/>
    <col min="5" max="5" width="5.1796875" style="10" customWidth="1"/>
    <col min="6" max="6" width="5.1796875" style="10" bestFit="1" customWidth="1"/>
    <col min="7" max="7" width="30.7265625" style="11" customWidth="1"/>
    <col min="8" max="8" width="21.54296875" style="11" customWidth="1"/>
    <col min="9" max="9" width="17.81640625" style="11" customWidth="1"/>
    <col min="10" max="10" width="7.54296875" style="12" bestFit="1" customWidth="1"/>
    <col min="11" max="11" width="8.81640625" style="12" bestFit="1" customWidth="1"/>
    <col min="12" max="12" width="8.7265625" style="12" customWidth="1"/>
    <col min="13" max="13" width="5.7265625" style="12" customWidth="1"/>
    <col min="14" max="14" width="11.54296875" style="13" bestFit="1" customWidth="1"/>
    <col min="15" max="20" width="3.26953125" style="14" bestFit="1" customWidth="1"/>
    <col min="21" max="21" width="15.7265625" style="15" customWidth="1"/>
    <col min="22" max="32" width="3.26953125" style="16" bestFit="1" customWidth="1"/>
    <col min="33" max="33" width="14.1796875" style="8" customWidth="1"/>
    <col min="34" max="34" width="3.26953125" style="12" bestFit="1" customWidth="1"/>
    <col min="35" max="35" width="5.7265625" style="12" bestFit="1" customWidth="1"/>
    <col min="36" max="36" width="5.7265625" style="12" customWidth="1"/>
    <col min="37" max="37" width="39" style="13" customWidth="1"/>
    <col min="38" max="38" width="37.1796875" style="13" customWidth="1"/>
    <col min="39" max="42" width="8.81640625" style="17" customWidth="1"/>
    <col min="43" max="43" width="8.81640625" style="7" customWidth="1"/>
    <col min="44" max="45" width="8.81640625" style="18" customWidth="1"/>
    <col min="46" max="16384" width="8.81640625" style="18"/>
  </cols>
  <sheetData>
    <row r="1" spans="1:43" s="20" customFormat="1" x14ac:dyDescent="0.3">
      <c r="A1" s="21"/>
      <c r="B1" s="21"/>
      <c r="C1" s="179" t="s">
        <v>82</v>
      </c>
      <c r="D1" s="181"/>
      <c r="E1" s="179" t="s">
        <v>83</v>
      </c>
      <c r="F1" s="180"/>
      <c r="G1" s="180"/>
      <c r="H1" s="180"/>
      <c r="I1" s="181"/>
      <c r="J1" s="179" t="s">
        <v>84</v>
      </c>
      <c r="K1" s="180"/>
      <c r="L1" s="180"/>
      <c r="M1" s="181"/>
      <c r="N1" s="179" t="s">
        <v>85</v>
      </c>
      <c r="O1" s="180"/>
      <c r="P1" s="180"/>
      <c r="Q1" s="180"/>
      <c r="R1" s="180"/>
      <c r="S1" s="180"/>
      <c r="T1" s="181"/>
      <c r="U1" s="22" t="s">
        <v>86</v>
      </c>
      <c r="V1" s="179" t="s">
        <v>87</v>
      </c>
      <c r="W1" s="180"/>
      <c r="X1" s="180"/>
      <c r="Y1" s="180"/>
      <c r="Z1" s="180"/>
      <c r="AA1" s="180"/>
      <c r="AB1" s="180"/>
      <c r="AC1" s="180"/>
      <c r="AD1" s="180"/>
      <c r="AE1" s="180"/>
      <c r="AF1" s="180"/>
      <c r="AG1" s="181"/>
      <c r="AH1" s="179" t="s">
        <v>88</v>
      </c>
      <c r="AI1" s="180"/>
      <c r="AJ1" s="181"/>
      <c r="AK1" s="22"/>
      <c r="AL1" s="22"/>
      <c r="AM1" s="17"/>
      <c r="AN1" s="17"/>
      <c r="AO1" s="17"/>
      <c r="AP1" s="17"/>
      <c r="AQ1" s="19"/>
    </row>
    <row r="2" spans="1:43" s="76" customFormat="1" ht="60" customHeight="1" x14ac:dyDescent="0.3">
      <c r="A2" s="72" t="s">
        <v>89</v>
      </c>
      <c r="B2" s="72" t="s">
        <v>90</v>
      </c>
      <c r="C2" s="72" t="s">
        <v>91</v>
      </c>
      <c r="D2" s="72" t="s">
        <v>92</v>
      </c>
      <c r="E2" s="72" t="s">
        <v>93</v>
      </c>
      <c r="F2" s="73" t="s">
        <v>94</v>
      </c>
      <c r="G2" s="72" t="s">
        <v>95</v>
      </c>
      <c r="H2" s="72" t="s">
        <v>96</v>
      </c>
      <c r="I2" s="72" t="s">
        <v>97</v>
      </c>
      <c r="J2" s="73" t="s">
        <v>98</v>
      </c>
      <c r="K2" s="73" t="s">
        <v>99</v>
      </c>
      <c r="L2" s="73" t="s">
        <v>100</v>
      </c>
      <c r="M2" s="73" t="s">
        <v>101</v>
      </c>
      <c r="N2" s="72" t="s">
        <v>102</v>
      </c>
      <c r="O2" s="74" t="s">
        <v>103</v>
      </c>
      <c r="P2" s="74" t="s">
        <v>104</v>
      </c>
      <c r="Q2" s="74" t="s">
        <v>105</v>
      </c>
      <c r="R2" s="74" t="s">
        <v>106</v>
      </c>
      <c r="S2" s="74" t="s">
        <v>107</v>
      </c>
      <c r="T2" s="74" t="s">
        <v>108</v>
      </c>
      <c r="U2" s="72" t="s">
        <v>109</v>
      </c>
      <c r="V2" s="74" t="s">
        <v>110</v>
      </c>
      <c r="W2" s="74" t="s">
        <v>111</v>
      </c>
      <c r="X2" s="74" t="s">
        <v>112</v>
      </c>
      <c r="Y2" s="74" t="s">
        <v>113</v>
      </c>
      <c r="Z2" s="74" t="s">
        <v>114</v>
      </c>
      <c r="AA2" s="74" t="s">
        <v>115</v>
      </c>
      <c r="AB2" s="74" t="s">
        <v>116</v>
      </c>
      <c r="AC2" s="74" t="s">
        <v>117</v>
      </c>
      <c r="AD2" s="74" t="s">
        <v>118</v>
      </c>
      <c r="AE2" s="74" t="s">
        <v>103</v>
      </c>
      <c r="AF2" s="74" t="s">
        <v>105</v>
      </c>
      <c r="AG2" s="72" t="s">
        <v>119</v>
      </c>
      <c r="AH2" s="74" t="s">
        <v>120</v>
      </c>
      <c r="AI2" s="74" t="s">
        <v>121</v>
      </c>
      <c r="AJ2" s="74" t="s">
        <v>122</v>
      </c>
      <c r="AK2" s="72" t="s">
        <v>123</v>
      </c>
      <c r="AL2" s="72" t="s">
        <v>124</v>
      </c>
      <c r="AM2" s="75"/>
      <c r="AN2" s="75"/>
      <c r="AO2" s="75"/>
      <c r="AP2" s="17"/>
      <c r="AQ2" s="75"/>
    </row>
    <row r="3" spans="1:43" x14ac:dyDescent="0.3">
      <c r="A3" s="148" t="str">
        <f>HYPERLINK("#'Questions'!A5", "5")</f>
        <v>5</v>
      </c>
      <c r="B3" t="s">
        <v>125</v>
      </c>
      <c r="C3" s="149" t="s">
        <v>130</v>
      </c>
      <c r="D3" s="149" t="s">
        <v>1299</v>
      </c>
      <c r="H3" s="150" t="s">
        <v>128</v>
      </c>
      <c r="AK3" s="150"/>
      <c r="AL3" s="150" t="s">
        <v>129</v>
      </c>
      <c r="AM3" s="150"/>
    </row>
    <row r="4" spans="1:43" x14ac:dyDescent="0.3">
      <c r="A4" s="148" t="str">
        <f>HYPERLINK("#'Questions'!A121", "121")</f>
        <v>121</v>
      </c>
      <c r="B4" t="s">
        <v>125</v>
      </c>
      <c r="C4" s="149" t="s">
        <v>134</v>
      </c>
      <c r="D4" s="149" t="s">
        <v>1300</v>
      </c>
      <c r="H4" s="150" t="s">
        <v>128</v>
      </c>
      <c r="AK4" s="150"/>
      <c r="AL4" s="150" t="s">
        <v>129</v>
      </c>
      <c r="AM4" s="150"/>
    </row>
    <row r="5" spans="1:43" x14ac:dyDescent="0.3">
      <c r="A5" s="148" t="str">
        <f>HYPERLINK("#'Questions'!A130", "130")</f>
        <v>130</v>
      </c>
      <c r="B5" t="s">
        <v>125</v>
      </c>
      <c r="C5" s="149" t="s">
        <v>140</v>
      </c>
      <c r="D5" s="149" t="s">
        <v>1301</v>
      </c>
      <c r="H5" s="150" t="s">
        <v>128</v>
      </c>
      <c r="AK5" s="150"/>
      <c r="AL5" s="150" t="s">
        <v>137</v>
      </c>
      <c r="AM5" s="150"/>
    </row>
    <row r="6" spans="1:43" ht="25" x14ac:dyDescent="0.3">
      <c r="A6" s="148" t="str">
        <f>HYPERLINK("#'Questions'!A147", "147")</f>
        <v>147</v>
      </c>
      <c r="B6" t="s">
        <v>125</v>
      </c>
      <c r="C6" s="149" t="s">
        <v>141</v>
      </c>
      <c r="D6" s="149" t="s">
        <v>142</v>
      </c>
      <c r="H6" s="150" t="s">
        <v>128</v>
      </c>
      <c r="AK6" s="150"/>
      <c r="AL6" s="150" t="s">
        <v>137</v>
      </c>
      <c r="AM6" s="150"/>
    </row>
    <row r="7" spans="1:43" ht="25" x14ac:dyDescent="0.3">
      <c r="A7" s="148" t="str">
        <f>HYPERLINK("#'Questions'!A159", "159")</f>
        <v>159</v>
      </c>
      <c r="B7" t="s">
        <v>125</v>
      </c>
      <c r="C7" s="149" t="s">
        <v>143</v>
      </c>
      <c r="D7" s="149" t="s">
        <v>144</v>
      </c>
      <c r="H7" s="150" t="s">
        <v>128</v>
      </c>
      <c r="AK7" s="150"/>
      <c r="AL7" s="150" t="s">
        <v>129</v>
      </c>
      <c r="AM7" s="150"/>
    </row>
    <row r="8" spans="1:43" ht="87.5" x14ac:dyDescent="0.3">
      <c r="A8" s="148" t="str">
        <f>HYPERLINK("#'Questions'!A383", "383")</f>
        <v>383</v>
      </c>
      <c r="B8" t="s">
        <v>125</v>
      </c>
      <c r="C8" s="149" t="s">
        <v>145</v>
      </c>
      <c r="D8" s="149" t="s">
        <v>746</v>
      </c>
      <c r="H8" s="150" t="s">
        <v>128</v>
      </c>
      <c r="AH8" s="150" t="s">
        <v>147</v>
      </c>
      <c r="AJ8" s="150" t="s">
        <v>147</v>
      </c>
      <c r="AK8" s="152" t="s">
        <v>1298</v>
      </c>
      <c r="AL8" s="150" t="s">
        <v>129</v>
      </c>
      <c r="AM8" s="150"/>
    </row>
    <row r="9" spans="1:43" x14ac:dyDescent="0.3">
      <c r="A9" s="148" t="str">
        <f>HYPERLINK("#'Questions'!A396", "396")</f>
        <v>396</v>
      </c>
      <c r="B9" t="s">
        <v>125</v>
      </c>
      <c r="C9" s="149" t="s">
        <v>149</v>
      </c>
      <c r="D9" s="149" t="s">
        <v>760</v>
      </c>
      <c r="H9" s="150" t="s">
        <v>128</v>
      </c>
      <c r="AH9" s="150" t="s">
        <v>147</v>
      </c>
      <c r="AJ9" s="150" t="s">
        <v>147</v>
      </c>
      <c r="AK9" s="150"/>
      <c r="AL9" s="150" t="s">
        <v>137</v>
      </c>
      <c r="AM9" s="150"/>
    </row>
    <row r="10" spans="1:43" x14ac:dyDescent="0.3">
      <c r="A10" s="148" t="str">
        <f>HYPERLINK("#'Questions'!A404", "404")</f>
        <v>404</v>
      </c>
      <c r="B10" t="s">
        <v>125</v>
      </c>
      <c r="C10" s="149" t="s">
        <v>152</v>
      </c>
      <c r="D10" s="149" t="s">
        <v>762</v>
      </c>
      <c r="H10" s="150" t="s">
        <v>128</v>
      </c>
      <c r="AH10" s="150" t="s">
        <v>147</v>
      </c>
      <c r="AJ10" s="150" t="s">
        <v>147</v>
      </c>
      <c r="AK10" s="150"/>
      <c r="AL10" s="150" t="s">
        <v>137</v>
      </c>
      <c r="AM10" s="150"/>
    </row>
    <row r="11" spans="1:43" ht="37.5" x14ac:dyDescent="0.3">
      <c r="A11" s="148" t="str">
        <f>HYPERLINK("#'Questions'!A177", "177")</f>
        <v>177</v>
      </c>
      <c r="B11" t="s">
        <v>125</v>
      </c>
      <c r="C11" s="149" t="s">
        <v>157</v>
      </c>
      <c r="D11" s="149" t="s">
        <v>158</v>
      </c>
      <c r="H11" s="150" t="s">
        <v>128</v>
      </c>
      <c r="AK11" s="150"/>
      <c r="AL11" s="150" t="s">
        <v>137</v>
      </c>
      <c r="AM11" s="150"/>
    </row>
    <row r="12" spans="1:43" ht="25" x14ac:dyDescent="0.3">
      <c r="A12" s="148" t="str">
        <f>HYPERLINK("#'Questions'!A193", "193")</f>
        <v>193</v>
      </c>
      <c r="B12" t="s">
        <v>125</v>
      </c>
      <c r="C12" s="149" t="s">
        <v>159</v>
      </c>
      <c r="D12" s="149" t="s">
        <v>160</v>
      </c>
      <c r="H12" s="150" t="s">
        <v>128</v>
      </c>
      <c r="AK12" s="150"/>
      <c r="AL12" s="150" t="s">
        <v>129</v>
      </c>
      <c r="AM12" s="150"/>
    </row>
    <row r="13" spans="1:43" ht="25" x14ac:dyDescent="0.3">
      <c r="A13" s="148" t="str">
        <f>HYPERLINK("#'Questions'!A416", "416")</f>
        <v>416</v>
      </c>
      <c r="B13" t="s">
        <v>125</v>
      </c>
      <c r="C13" s="149" t="s">
        <v>162</v>
      </c>
      <c r="D13" s="149" t="s">
        <v>767</v>
      </c>
      <c r="H13" s="150" t="s">
        <v>128</v>
      </c>
      <c r="AH13" s="150" t="s">
        <v>147</v>
      </c>
      <c r="AJ13" s="150" t="s">
        <v>147</v>
      </c>
      <c r="AK13" s="150"/>
      <c r="AL13" s="150" t="s">
        <v>129</v>
      </c>
      <c r="AM13" s="150"/>
    </row>
    <row r="14" spans="1:43" x14ac:dyDescent="0.3">
      <c r="A14" s="148" t="str">
        <f>HYPERLINK("#'Questions'!A209", "209")</f>
        <v>209</v>
      </c>
      <c r="B14" t="s">
        <v>125</v>
      </c>
      <c r="C14" s="149" t="s">
        <v>164</v>
      </c>
      <c r="D14" s="149" t="s">
        <v>164</v>
      </c>
      <c r="H14" s="150" t="s">
        <v>128</v>
      </c>
      <c r="AK14" s="150"/>
      <c r="AL14" s="150" t="s">
        <v>137</v>
      </c>
      <c r="AM14" s="150"/>
    </row>
    <row r="15" spans="1:43" x14ac:dyDescent="0.3">
      <c r="A15" s="148" t="str">
        <f>HYPERLINK("#'Questions'!A215", "215")</f>
        <v>215</v>
      </c>
      <c r="B15" t="s">
        <v>125</v>
      </c>
      <c r="C15" s="149" t="s">
        <v>165</v>
      </c>
      <c r="D15" s="149" t="s">
        <v>165</v>
      </c>
      <c r="H15" s="150" t="s">
        <v>128</v>
      </c>
      <c r="AK15" s="150"/>
      <c r="AL15" s="150" t="s">
        <v>137</v>
      </c>
      <c r="AM15" s="150"/>
    </row>
    <row r="16" spans="1:43" ht="87.5" x14ac:dyDescent="0.3">
      <c r="A16" s="148" t="str">
        <f>HYPERLINK("#'Questions'!A432", "432")</f>
        <v>432</v>
      </c>
      <c r="B16" t="s">
        <v>125</v>
      </c>
      <c r="C16" s="149" t="s">
        <v>167</v>
      </c>
      <c r="D16" s="149" t="s">
        <v>770</v>
      </c>
      <c r="H16" s="150" t="s">
        <v>128</v>
      </c>
      <c r="AH16" s="150" t="s">
        <v>147</v>
      </c>
      <c r="AJ16" s="150" t="s">
        <v>147</v>
      </c>
      <c r="AK16" s="152" t="s">
        <v>1298</v>
      </c>
      <c r="AL16" s="150" t="s">
        <v>129</v>
      </c>
      <c r="AM16" s="150"/>
    </row>
    <row r="17" spans="1:42" x14ac:dyDescent="0.3">
      <c r="A17" s="148" t="str">
        <f>HYPERLINK("#'Questions'!A450", "450")</f>
        <v>450</v>
      </c>
      <c r="B17" t="s">
        <v>125</v>
      </c>
      <c r="C17" s="149" t="s">
        <v>170</v>
      </c>
      <c r="D17" s="149" t="s">
        <v>778</v>
      </c>
      <c r="H17" s="150" t="s">
        <v>128</v>
      </c>
      <c r="AH17" s="150" t="s">
        <v>147</v>
      </c>
      <c r="AJ17" s="150" t="s">
        <v>147</v>
      </c>
      <c r="AK17" s="150"/>
      <c r="AL17" s="150" t="s">
        <v>137</v>
      </c>
      <c r="AM17" s="150"/>
    </row>
    <row r="18" spans="1:42" ht="37.5" x14ac:dyDescent="0.3">
      <c r="A18" s="148" t="str">
        <f>HYPERLINK("#'Questions'!A463", "463")</f>
        <v>463</v>
      </c>
      <c r="B18" t="s">
        <v>125</v>
      </c>
      <c r="C18" s="149" t="s">
        <v>171</v>
      </c>
      <c r="D18" s="149" t="s">
        <v>780</v>
      </c>
      <c r="H18" s="150" t="s">
        <v>128</v>
      </c>
      <c r="W18" s="150" t="s">
        <v>147</v>
      </c>
      <c r="AC18" s="150" t="s">
        <v>147</v>
      </c>
      <c r="AE18" s="150" t="s">
        <v>147</v>
      </c>
      <c r="AG18" s="150" t="s">
        <v>173</v>
      </c>
      <c r="AH18" s="150" t="s">
        <v>147</v>
      </c>
      <c r="AI18" s="150" t="s">
        <v>147</v>
      </c>
      <c r="AJ18" s="150" t="s">
        <v>147</v>
      </c>
      <c r="AK18" s="150"/>
      <c r="AL18" s="150" t="s">
        <v>129</v>
      </c>
      <c r="AM18" s="150" t="s">
        <v>174</v>
      </c>
      <c r="AP18" s="150">
        <v>5</v>
      </c>
    </row>
    <row r="19" spans="1:42" x14ac:dyDescent="0.3">
      <c r="A19" s="148" t="str">
        <f>HYPERLINK("#'Questions'!A476", "476")</f>
        <v>476</v>
      </c>
      <c r="B19" t="s">
        <v>125</v>
      </c>
      <c r="C19" s="149" t="s">
        <v>176</v>
      </c>
      <c r="D19" s="149"/>
      <c r="H19" s="150" t="s">
        <v>128</v>
      </c>
      <c r="AH19" s="150" t="s">
        <v>147</v>
      </c>
      <c r="AJ19" s="150" t="s">
        <v>147</v>
      </c>
      <c r="AK19" s="150"/>
      <c r="AL19" s="150" t="s">
        <v>137</v>
      </c>
      <c r="AM19" s="150"/>
    </row>
    <row r="20" spans="1:42" ht="37.5" x14ac:dyDescent="0.3">
      <c r="A20" s="148" t="str">
        <f>HYPERLINK("#'Questions'!A486", "486")</f>
        <v>486</v>
      </c>
      <c r="B20" t="s">
        <v>125</v>
      </c>
      <c r="C20" s="149" t="s">
        <v>177</v>
      </c>
      <c r="D20" s="149" t="s">
        <v>788</v>
      </c>
      <c r="H20" s="150" t="s">
        <v>128</v>
      </c>
      <c r="W20" s="150" t="s">
        <v>147</v>
      </c>
      <c r="X20" s="150" t="s">
        <v>147</v>
      </c>
      <c r="Y20" s="150" t="s">
        <v>147</v>
      </c>
      <c r="AB20" s="150" t="s">
        <v>147</v>
      </c>
      <c r="AC20" s="150" t="s">
        <v>147</v>
      </c>
      <c r="AE20" s="150" t="s">
        <v>147</v>
      </c>
      <c r="AG20" s="150" t="s">
        <v>179</v>
      </c>
      <c r="AH20" s="150" t="s">
        <v>147</v>
      </c>
      <c r="AI20" s="150" t="s">
        <v>147</v>
      </c>
      <c r="AJ20" s="150" t="s">
        <v>147</v>
      </c>
      <c r="AK20" s="152" t="s">
        <v>1310</v>
      </c>
      <c r="AL20" s="150" t="s">
        <v>129</v>
      </c>
      <c r="AM20" s="150" t="s">
        <v>174</v>
      </c>
      <c r="AP20" s="150">
        <v>10</v>
      </c>
    </row>
    <row r="21" spans="1:42" ht="25" x14ac:dyDescent="0.3">
      <c r="A21" s="148" t="str">
        <f>HYPERLINK("#'Questions'!A504", "504")</f>
        <v>504</v>
      </c>
      <c r="B21" t="s">
        <v>125</v>
      </c>
      <c r="C21" s="149" t="s">
        <v>180</v>
      </c>
      <c r="D21" s="149" t="s">
        <v>792</v>
      </c>
      <c r="H21" s="150" t="s">
        <v>128</v>
      </c>
      <c r="W21" s="150" t="s">
        <v>147</v>
      </c>
      <c r="X21" s="150" t="s">
        <v>147</v>
      </c>
      <c r="Y21" s="150" t="s">
        <v>147</v>
      </c>
      <c r="AB21" s="150" t="s">
        <v>147</v>
      </c>
      <c r="AC21" s="150" t="s">
        <v>147</v>
      </c>
      <c r="AE21" s="150" t="s">
        <v>147</v>
      </c>
      <c r="AG21" s="150" t="s">
        <v>182</v>
      </c>
      <c r="AH21" s="150" t="s">
        <v>147</v>
      </c>
      <c r="AI21" s="150" t="s">
        <v>147</v>
      </c>
      <c r="AJ21" s="150" t="s">
        <v>147</v>
      </c>
      <c r="AK21" s="152" t="s">
        <v>1310</v>
      </c>
      <c r="AL21" s="150" t="s">
        <v>129</v>
      </c>
      <c r="AM21" s="150" t="s">
        <v>174</v>
      </c>
      <c r="AO21" s="150" t="s">
        <v>183</v>
      </c>
      <c r="AP21" s="150">
        <v>10</v>
      </c>
    </row>
    <row r="22" spans="1:42" ht="37.5" x14ac:dyDescent="0.3">
      <c r="A22" s="148" t="str">
        <f>HYPERLINK("#'Questions'!A522", "522")</f>
        <v>522</v>
      </c>
      <c r="B22" t="s">
        <v>125</v>
      </c>
      <c r="C22" s="149" t="s">
        <v>184</v>
      </c>
      <c r="D22" s="149" t="s">
        <v>797</v>
      </c>
      <c r="H22" s="150" t="s">
        <v>128</v>
      </c>
      <c r="W22" s="150" t="s">
        <v>147</v>
      </c>
      <c r="X22" s="150" t="s">
        <v>147</v>
      </c>
      <c r="Y22" s="150" t="s">
        <v>147</v>
      </c>
      <c r="AB22" s="150" t="s">
        <v>147</v>
      </c>
      <c r="AC22" s="150" t="s">
        <v>147</v>
      </c>
      <c r="AE22" s="150" t="s">
        <v>147</v>
      </c>
      <c r="AG22" s="150" t="s">
        <v>182</v>
      </c>
      <c r="AH22" s="150" t="s">
        <v>147</v>
      </c>
      <c r="AI22" s="150" t="s">
        <v>147</v>
      </c>
      <c r="AJ22" s="150" t="s">
        <v>147</v>
      </c>
      <c r="AK22" s="152" t="s">
        <v>1310</v>
      </c>
      <c r="AL22" s="150" t="s">
        <v>129</v>
      </c>
      <c r="AM22" s="150" t="s">
        <v>174</v>
      </c>
      <c r="AO22" s="150" t="s">
        <v>183</v>
      </c>
      <c r="AP22" s="150">
        <v>10</v>
      </c>
    </row>
    <row r="23" spans="1:42" ht="37.5" x14ac:dyDescent="0.3">
      <c r="A23" s="148" t="str">
        <f>HYPERLINK("#'Questions'!A540", "540")</f>
        <v>540</v>
      </c>
      <c r="B23" t="s">
        <v>125</v>
      </c>
      <c r="C23" s="149" t="s">
        <v>186</v>
      </c>
      <c r="D23" s="149" t="s">
        <v>801</v>
      </c>
      <c r="H23" s="150" t="s">
        <v>128</v>
      </c>
      <c r="W23" s="150" t="s">
        <v>147</v>
      </c>
      <c r="X23" s="150" t="s">
        <v>147</v>
      </c>
      <c r="AB23" s="150" t="s">
        <v>147</v>
      </c>
      <c r="AC23" s="150" t="s">
        <v>147</v>
      </c>
      <c r="AE23" s="150" t="s">
        <v>147</v>
      </c>
      <c r="AG23" s="150" t="s">
        <v>188</v>
      </c>
      <c r="AH23" s="150" t="s">
        <v>147</v>
      </c>
      <c r="AI23" s="150" t="s">
        <v>147</v>
      </c>
      <c r="AJ23" s="150" t="s">
        <v>147</v>
      </c>
      <c r="AK23" s="152" t="s">
        <v>1310</v>
      </c>
      <c r="AL23" s="150" t="s">
        <v>129</v>
      </c>
      <c r="AM23" s="150" t="s">
        <v>174</v>
      </c>
      <c r="AO23" s="150" t="s">
        <v>183</v>
      </c>
      <c r="AP23" s="150">
        <v>11</v>
      </c>
    </row>
    <row r="24" spans="1:42" ht="37.5" x14ac:dyDescent="0.3">
      <c r="A24" s="148" t="str">
        <f>HYPERLINK("#'Questions'!A559", "559")</f>
        <v>559</v>
      </c>
      <c r="B24" t="s">
        <v>125</v>
      </c>
      <c r="C24" s="149" t="s">
        <v>189</v>
      </c>
      <c r="D24" s="149" t="s">
        <v>805</v>
      </c>
      <c r="H24" s="150" t="s">
        <v>128</v>
      </c>
      <c r="AH24" s="150" t="s">
        <v>147</v>
      </c>
      <c r="AJ24" s="150" t="s">
        <v>147</v>
      </c>
      <c r="AK24" s="152" t="s">
        <v>1310</v>
      </c>
      <c r="AL24" s="150" t="s">
        <v>137</v>
      </c>
      <c r="AM24" s="150"/>
    </row>
    <row r="25" spans="1:42" ht="50" x14ac:dyDescent="0.3">
      <c r="A25" s="148" t="str">
        <f>HYPERLINK("#'Questions'!A585", "585")</f>
        <v>585</v>
      </c>
      <c r="B25" t="s">
        <v>125</v>
      </c>
      <c r="C25" s="149" t="s">
        <v>191</v>
      </c>
      <c r="D25" s="149" t="s">
        <v>824</v>
      </c>
      <c r="H25" s="150" t="s">
        <v>128</v>
      </c>
      <c r="AH25" s="150" t="s">
        <v>147</v>
      </c>
      <c r="AJ25" s="150" t="s">
        <v>147</v>
      </c>
      <c r="AK25" s="152" t="s">
        <v>1310</v>
      </c>
      <c r="AL25" s="150" t="s">
        <v>137</v>
      </c>
      <c r="AM25" s="150"/>
    </row>
    <row r="26" spans="1:42" ht="37.5" x14ac:dyDescent="0.3">
      <c r="A26" s="148" t="str">
        <f>HYPERLINK("#'Questions'!A613", "613")</f>
        <v>613</v>
      </c>
      <c r="B26" t="s">
        <v>125</v>
      </c>
      <c r="C26" s="149" t="s">
        <v>193</v>
      </c>
      <c r="D26" s="149" t="s">
        <v>1302</v>
      </c>
      <c r="H26" s="150" t="s">
        <v>128</v>
      </c>
      <c r="AH26" s="150" t="s">
        <v>147</v>
      </c>
      <c r="AJ26" s="150" t="s">
        <v>147</v>
      </c>
      <c r="AK26" s="152" t="s">
        <v>1310</v>
      </c>
      <c r="AL26" s="150" t="s">
        <v>137</v>
      </c>
      <c r="AM26" s="150"/>
    </row>
    <row r="27" spans="1:42" ht="37.5" x14ac:dyDescent="0.3">
      <c r="A27" s="148" t="str">
        <f>HYPERLINK("#'Questions'!A234", "234")</f>
        <v>234</v>
      </c>
      <c r="B27" t="s">
        <v>125</v>
      </c>
      <c r="C27" s="149" t="s">
        <v>197</v>
      </c>
      <c r="D27" s="149" t="s">
        <v>198</v>
      </c>
      <c r="H27" s="150" t="s">
        <v>128</v>
      </c>
      <c r="AK27" s="150"/>
      <c r="AL27" s="150" t="s">
        <v>137</v>
      </c>
      <c r="AM27" s="150"/>
    </row>
    <row r="28" spans="1:42" ht="62.5" x14ac:dyDescent="0.3">
      <c r="A28" s="148" t="str">
        <f>HYPERLINK("#'Questions'!A624", "624")</f>
        <v>624</v>
      </c>
      <c r="B28" t="s">
        <v>125</v>
      </c>
      <c r="C28" s="149" t="s">
        <v>199</v>
      </c>
      <c r="D28" s="149" t="s">
        <v>855</v>
      </c>
      <c r="H28" s="150" t="s">
        <v>128</v>
      </c>
      <c r="O28" s="150" t="s">
        <v>147</v>
      </c>
      <c r="P28" s="150"/>
      <c r="Q28" s="150" t="s">
        <v>147</v>
      </c>
      <c r="R28" s="150" t="s">
        <v>147</v>
      </c>
      <c r="AH28" s="150" t="s">
        <v>147</v>
      </c>
      <c r="AJ28" s="150" t="s">
        <v>147</v>
      </c>
      <c r="AK28" s="152" t="s">
        <v>1306</v>
      </c>
      <c r="AL28" s="150" t="s">
        <v>85</v>
      </c>
      <c r="AM28" s="150"/>
    </row>
    <row r="29" spans="1:42" ht="37.5" x14ac:dyDescent="0.3">
      <c r="A29" s="148" t="str">
        <f>HYPERLINK("#'Questions'!A238", "238")</f>
        <v>238</v>
      </c>
      <c r="B29" t="s">
        <v>125</v>
      </c>
      <c r="C29" s="149" t="s">
        <v>201</v>
      </c>
      <c r="D29" s="149" t="s">
        <v>202</v>
      </c>
      <c r="H29" s="150" t="s">
        <v>128</v>
      </c>
      <c r="AK29" s="161" t="s">
        <v>1397</v>
      </c>
      <c r="AL29" s="150" t="s">
        <v>137</v>
      </c>
      <c r="AM29" s="150"/>
    </row>
    <row r="30" spans="1:42" x14ac:dyDescent="0.3">
      <c r="A30" s="148" t="str">
        <f>HYPERLINK("#'Questions'!A241", "241")</f>
        <v>241</v>
      </c>
      <c r="B30" t="s">
        <v>125</v>
      </c>
      <c r="C30" s="149" t="s">
        <v>203</v>
      </c>
      <c r="D30" s="149" t="s">
        <v>204</v>
      </c>
      <c r="H30" s="150" t="s">
        <v>128</v>
      </c>
      <c r="AK30" s="150"/>
      <c r="AL30" s="150" t="s">
        <v>137</v>
      </c>
      <c r="AM30" s="150"/>
    </row>
    <row r="31" spans="1:42" x14ac:dyDescent="0.3">
      <c r="A31" s="148" t="str">
        <f>HYPERLINK("#'Questions'!A243", "243")</f>
        <v>243</v>
      </c>
      <c r="B31" t="s">
        <v>125</v>
      </c>
      <c r="C31" s="149" t="s">
        <v>205</v>
      </c>
      <c r="D31" s="149" t="s">
        <v>204</v>
      </c>
      <c r="H31" s="150" t="s">
        <v>128</v>
      </c>
      <c r="AK31" s="150"/>
      <c r="AL31" s="150" t="s">
        <v>137</v>
      </c>
      <c r="AM31" s="150"/>
    </row>
    <row r="32" spans="1:42" ht="25" x14ac:dyDescent="0.3">
      <c r="A32" s="148" t="str">
        <f>HYPERLINK("#'Questions'!A627", "627")</f>
        <v>627</v>
      </c>
      <c r="B32" t="s">
        <v>125</v>
      </c>
      <c r="C32" s="149" t="s">
        <v>1307</v>
      </c>
      <c r="D32" s="149" t="s">
        <v>1303</v>
      </c>
      <c r="H32" s="150" t="s">
        <v>128</v>
      </c>
      <c r="AH32" s="150" t="s">
        <v>147</v>
      </c>
      <c r="AJ32" s="150" t="s">
        <v>147</v>
      </c>
      <c r="AK32" s="150"/>
      <c r="AL32" s="150" t="s">
        <v>137</v>
      </c>
      <c r="AM32" s="150"/>
    </row>
    <row r="33" spans="1:42" ht="25" x14ac:dyDescent="0.3">
      <c r="A33" s="148" t="str">
        <f>HYPERLINK("#'Questions'!A645", "645")</f>
        <v>645</v>
      </c>
      <c r="B33" t="s">
        <v>125</v>
      </c>
      <c r="C33" s="149" t="s">
        <v>1308</v>
      </c>
      <c r="D33" s="149" t="s">
        <v>871</v>
      </c>
      <c r="H33" s="150" t="s">
        <v>128</v>
      </c>
      <c r="AH33" s="150" t="s">
        <v>147</v>
      </c>
      <c r="AJ33" s="150" t="s">
        <v>147</v>
      </c>
      <c r="AK33" s="150"/>
      <c r="AL33" s="150" t="s">
        <v>137</v>
      </c>
      <c r="AM33" s="150"/>
    </row>
    <row r="34" spans="1:42" ht="25" x14ac:dyDescent="0.3">
      <c r="A34" s="148" t="str">
        <f>HYPERLINK("#'Questions'!A331", "331")</f>
        <v>331</v>
      </c>
      <c r="B34" t="s">
        <v>125</v>
      </c>
      <c r="C34" s="149" t="s">
        <v>217</v>
      </c>
      <c r="D34" s="149" t="s">
        <v>218</v>
      </c>
      <c r="H34" s="150" t="s">
        <v>128</v>
      </c>
      <c r="AK34" s="162" t="s">
        <v>1398</v>
      </c>
      <c r="AL34" s="150" t="s">
        <v>137</v>
      </c>
      <c r="AM34" s="150"/>
    </row>
    <row r="35" spans="1:42" ht="25" x14ac:dyDescent="0.3">
      <c r="A35" s="148" t="str">
        <f>HYPERLINK("#'Questions'!A664", "664")</f>
        <v>664</v>
      </c>
      <c r="B35" t="s">
        <v>125</v>
      </c>
      <c r="C35" s="149" t="s">
        <v>219</v>
      </c>
      <c r="D35" s="149" t="s">
        <v>1304</v>
      </c>
      <c r="H35" s="150" t="s">
        <v>128</v>
      </c>
      <c r="AH35" s="150" t="s">
        <v>147</v>
      </c>
      <c r="AJ35" s="150" t="s">
        <v>147</v>
      </c>
      <c r="AK35" s="152"/>
      <c r="AL35" s="150" t="s">
        <v>137</v>
      </c>
      <c r="AM35" s="150"/>
    </row>
    <row r="36" spans="1:42" ht="25" x14ac:dyDescent="0.3">
      <c r="A36" s="148" t="str">
        <f>HYPERLINK("#'Questions'!A679", "679")</f>
        <v>679</v>
      </c>
      <c r="B36" t="s">
        <v>125</v>
      </c>
      <c r="C36" s="149" t="s">
        <v>221</v>
      </c>
      <c r="D36" s="149" t="s">
        <v>898</v>
      </c>
      <c r="H36" s="150" t="s">
        <v>128</v>
      </c>
      <c r="AH36" s="150" t="s">
        <v>147</v>
      </c>
      <c r="AJ36" s="150" t="s">
        <v>147</v>
      </c>
      <c r="AK36" s="152"/>
      <c r="AL36" s="150" t="s">
        <v>137</v>
      </c>
      <c r="AM36" s="150"/>
    </row>
    <row r="37" spans="1:42" ht="26" x14ac:dyDescent="0.3">
      <c r="A37" s="148" t="str">
        <f>HYPERLINK("#'Questions'!A698", "698")</f>
        <v>698</v>
      </c>
      <c r="B37" t="s">
        <v>125</v>
      </c>
      <c r="C37" s="149" t="s">
        <v>223</v>
      </c>
      <c r="D37" s="149" t="s">
        <v>908</v>
      </c>
      <c r="G37" s="163" t="s">
        <v>1330</v>
      </c>
      <c r="H37" s="161" t="s">
        <v>1313</v>
      </c>
      <c r="AH37" s="150" t="s">
        <v>147</v>
      </c>
      <c r="AJ37" s="150" t="s">
        <v>147</v>
      </c>
      <c r="AK37" s="152"/>
      <c r="AL37" s="150" t="s">
        <v>129</v>
      </c>
      <c r="AM37" s="150"/>
    </row>
    <row r="38" spans="1:42" ht="26" x14ac:dyDescent="0.3">
      <c r="A38" s="148" t="str">
        <f>HYPERLINK("#'Questions'!A333", "333")</f>
        <v>333</v>
      </c>
      <c r="B38" t="s">
        <v>125</v>
      </c>
      <c r="C38" s="149" t="s">
        <v>225</v>
      </c>
      <c r="D38" s="149" t="s">
        <v>226</v>
      </c>
      <c r="G38" s="163" t="s">
        <v>1330</v>
      </c>
      <c r="H38" s="161" t="s">
        <v>1313</v>
      </c>
      <c r="AK38" s="152"/>
      <c r="AL38" s="150" t="s">
        <v>137</v>
      </c>
      <c r="AM38" s="150"/>
    </row>
    <row r="39" spans="1:42" ht="50" x14ac:dyDescent="0.3">
      <c r="A39" s="148" t="str">
        <f>HYPERLINK("#'Questions'!A709", "709")</f>
        <v>709</v>
      </c>
      <c r="B39" t="s">
        <v>125</v>
      </c>
      <c r="C39" s="149" t="s">
        <v>227</v>
      </c>
      <c r="D39" s="149" t="s">
        <v>914</v>
      </c>
      <c r="G39" s="163" t="s">
        <v>1330</v>
      </c>
      <c r="H39" s="161" t="s">
        <v>1313</v>
      </c>
      <c r="O39" s="150" t="s">
        <v>147</v>
      </c>
      <c r="P39" s="150"/>
      <c r="Q39" s="150" t="s">
        <v>147</v>
      </c>
      <c r="R39" s="150" t="s">
        <v>147</v>
      </c>
      <c r="AH39" s="150" t="s">
        <v>147</v>
      </c>
      <c r="AJ39" s="150" t="s">
        <v>147</v>
      </c>
      <c r="AK39" s="152" t="s">
        <v>1309</v>
      </c>
      <c r="AL39" s="150" t="s">
        <v>85</v>
      </c>
      <c r="AM39" s="150"/>
    </row>
    <row r="40" spans="1:42" ht="26" x14ac:dyDescent="0.3">
      <c r="A40" s="148" t="str">
        <f>HYPERLINK("#'Questions'!A719", "719")</f>
        <v>719</v>
      </c>
      <c r="B40" t="s">
        <v>125</v>
      </c>
      <c r="C40" s="149" t="s">
        <v>229</v>
      </c>
      <c r="D40" s="149" t="s">
        <v>916</v>
      </c>
      <c r="G40" s="163" t="s">
        <v>1330</v>
      </c>
      <c r="H40" s="161" t="s">
        <v>1313</v>
      </c>
      <c r="W40" s="150" t="s">
        <v>147</v>
      </c>
      <c r="X40" s="150" t="s">
        <v>147</v>
      </c>
      <c r="AB40" s="150" t="s">
        <v>147</v>
      </c>
      <c r="AC40" s="150" t="s">
        <v>147</v>
      </c>
      <c r="AE40" s="150" t="s">
        <v>147</v>
      </c>
      <c r="AG40" s="150" t="s">
        <v>182</v>
      </c>
      <c r="AH40" s="150" t="s">
        <v>147</v>
      </c>
      <c r="AI40" s="150" t="s">
        <v>147</v>
      </c>
      <c r="AJ40" s="150" t="s">
        <v>147</v>
      </c>
      <c r="AK40" s="162" t="s">
        <v>1399</v>
      </c>
      <c r="AL40" s="150" t="s">
        <v>129</v>
      </c>
      <c r="AM40" s="150" t="s">
        <v>174</v>
      </c>
      <c r="AO40" s="150" t="s">
        <v>183</v>
      </c>
      <c r="AP40" s="150">
        <v>10</v>
      </c>
    </row>
    <row r="41" spans="1:42" ht="25" x14ac:dyDescent="0.3">
      <c r="A41" s="148" t="str">
        <f>HYPERLINK("#'Questions'!A732", "732")</f>
        <v>732</v>
      </c>
      <c r="B41" t="s">
        <v>125</v>
      </c>
      <c r="C41" s="149" t="s">
        <v>234</v>
      </c>
      <c r="D41" s="149" t="s">
        <v>918</v>
      </c>
      <c r="H41" s="150" t="s">
        <v>128</v>
      </c>
      <c r="W41" s="150" t="s">
        <v>147</v>
      </c>
      <c r="AC41" s="150" t="s">
        <v>147</v>
      </c>
      <c r="AE41" s="150" t="s">
        <v>147</v>
      </c>
      <c r="AG41" s="150" t="s">
        <v>173</v>
      </c>
      <c r="AH41" s="150" t="s">
        <v>147</v>
      </c>
      <c r="AI41" s="150" t="s">
        <v>147</v>
      </c>
      <c r="AJ41" s="150" t="s">
        <v>147</v>
      </c>
      <c r="AK41" s="152"/>
      <c r="AL41" s="150" t="s">
        <v>129</v>
      </c>
      <c r="AM41" s="150" t="s">
        <v>174</v>
      </c>
      <c r="AP41" s="150">
        <v>5</v>
      </c>
    </row>
    <row r="42" spans="1:42" ht="25" x14ac:dyDescent="0.3">
      <c r="A42" s="148" t="str">
        <f>HYPERLINK("#'Questions'!A748", "748")</f>
        <v>748</v>
      </c>
      <c r="B42" t="s">
        <v>125</v>
      </c>
      <c r="C42" s="149" t="s">
        <v>236</v>
      </c>
      <c r="D42" s="149" t="s">
        <v>921</v>
      </c>
      <c r="H42" s="150" t="s">
        <v>128</v>
      </c>
      <c r="W42" s="150" t="s">
        <v>147</v>
      </c>
      <c r="AC42" s="150" t="s">
        <v>147</v>
      </c>
      <c r="AE42" s="150" t="s">
        <v>147</v>
      </c>
      <c r="AG42" s="150" t="s">
        <v>173</v>
      </c>
      <c r="AH42" s="150" t="s">
        <v>147</v>
      </c>
      <c r="AI42" s="150" t="s">
        <v>147</v>
      </c>
      <c r="AJ42" s="150" t="s">
        <v>147</v>
      </c>
      <c r="AK42" s="152"/>
      <c r="AL42" s="150" t="s">
        <v>129</v>
      </c>
      <c r="AM42" s="150" t="s">
        <v>174</v>
      </c>
      <c r="AP42" s="150">
        <v>5</v>
      </c>
    </row>
    <row r="43" spans="1:42" ht="37.5" x14ac:dyDescent="0.3">
      <c r="A43" s="148" t="str">
        <f>HYPERLINK("#'Questions'!A756", "756")</f>
        <v>756</v>
      </c>
      <c r="B43" t="s">
        <v>125</v>
      </c>
      <c r="C43" s="164" t="s">
        <v>240</v>
      </c>
      <c r="D43" s="149" t="s">
        <v>935</v>
      </c>
      <c r="H43" s="150" t="s">
        <v>128</v>
      </c>
      <c r="O43" s="150" t="s">
        <v>147</v>
      </c>
      <c r="P43" s="150"/>
      <c r="Q43" s="150" t="s">
        <v>147</v>
      </c>
      <c r="R43" s="150" t="s">
        <v>147</v>
      </c>
      <c r="AH43" s="150" t="s">
        <v>147</v>
      </c>
      <c r="AJ43" s="150" t="s">
        <v>147</v>
      </c>
      <c r="AK43" s="161" t="s">
        <v>1400</v>
      </c>
      <c r="AL43" s="150" t="s">
        <v>85</v>
      </c>
      <c r="AM43" s="150"/>
    </row>
    <row r="44" spans="1:42" ht="25" x14ac:dyDescent="0.3">
      <c r="A44" s="148" t="str">
        <f>HYPERLINK("#'Questions'!A343", "343")</f>
        <v>343</v>
      </c>
      <c r="B44" t="s">
        <v>125</v>
      </c>
      <c r="C44" s="149" t="s">
        <v>242</v>
      </c>
      <c r="D44" s="149" t="s">
        <v>243</v>
      </c>
      <c r="H44" s="150" t="s">
        <v>128</v>
      </c>
      <c r="W44" s="150" t="s">
        <v>147</v>
      </c>
      <c r="AC44" s="150" t="s">
        <v>147</v>
      </c>
      <c r="AE44" s="150" t="s">
        <v>147</v>
      </c>
      <c r="AG44" s="150" t="s">
        <v>173</v>
      </c>
      <c r="AK44" s="150"/>
      <c r="AL44" s="150" t="s">
        <v>129</v>
      </c>
      <c r="AM44" s="150" t="s">
        <v>174</v>
      </c>
      <c r="AP44" s="150">
        <v>5</v>
      </c>
    </row>
    <row r="45" spans="1:42" ht="25" x14ac:dyDescent="0.3">
      <c r="A45" s="148" t="str">
        <f>HYPERLINK("#'Questions'!A349", "349")</f>
        <v>349</v>
      </c>
      <c r="B45" t="s">
        <v>125</v>
      </c>
      <c r="C45" s="149" t="s">
        <v>244</v>
      </c>
      <c r="D45" s="149" t="s">
        <v>245</v>
      </c>
      <c r="H45" s="150" t="s">
        <v>128</v>
      </c>
      <c r="AK45" s="150"/>
      <c r="AL45" s="150" t="s">
        <v>137</v>
      </c>
      <c r="AM45" s="150"/>
    </row>
    <row r="46" spans="1:42" ht="25" x14ac:dyDescent="0.3">
      <c r="A46" s="148" t="str">
        <f>HYPERLINK("#'Questions'!A368", "368")</f>
        <v>368</v>
      </c>
      <c r="B46" t="s">
        <v>125</v>
      </c>
      <c r="C46" s="149" t="s">
        <v>246</v>
      </c>
      <c r="D46" s="149" t="s">
        <v>247</v>
      </c>
      <c r="H46" s="150" t="s">
        <v>128</v>
      </c>
      <c r="AK46" s="150"/>
      <c r="AL46" s="150" t="s">
        <v>129</v>
      </c>
      <c r="AM46" s="150"/>
    </row>
    <row r="47" spans="1:42" x14ac:dyDescent="0.3">
      <c r="A47" s="148" t="str">
        <f>HYPERLINK("#'Questions'!A373", "373")</f>
        <v>373</v>
      </c>
      <c r="B47" t="s">
        <v>125</v>
      </c>
      <c r="C47" s="149" t="s">
        <v>248</v>
      </c>
      <c r="D47" s="149" t="s">
        <v>1305</v>
      </c>
      <c r="H47" s="150" t="s">
        <v>128</v>
      </c>
      <c r="AK47" s="150"/>
      <c r="AL47" s="150" t="s">
        <v>129</v>
      </c>
      <c r="AM47" s="150"/>
    </row>
  </sheetData>
  <mergeCells count="6">
    <mergeCell ref="AH1:AJ1"/>
    <mergeCell ref="C1:D1"/>
    <mergeCell ref="E1:I1"/>
    <mergeCell ref="J1:M1"/>
    <mergeCell ref="N1:T1"/>
    <mergeCell ref="V1:AG1"/>
  </mergeCell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F756"/>
  <sheetViews>
    <sheetView workbookViewId="0">
      <selection activeCell="E1" sqref="E1:E1048576"/>
    </sheetView>
  </sheetViews>
  <sheetFormatPr defaultColWidth="9.1796875" defaultRowHeight="14.5" x14ac:dyDescent="0.35"/>
  <cols>
    <col min="1" max="1" width="5.7265625" style="106" customWidth="1"/>
    <col min="2" max="2" width="25.7265625" style="106" customWidth="1"/>
    <col min="3" max="3" width="50.7265625" style="106" customWidth="1"/>
    <col min="4" max="4" width="10.7265625" style="106" customWidth="1"/>
    <col min="5" max="5" width="25.7265625" style="106" customWidth="1"/>
    <col min="6" max="6" width="9.1796875" style="106" customWidth="1"/>
    <col min="7" max="16384" width="9.1796875" style="106"/>
  </cols>
  <sheetData>
    <row r="2" spans="1:6" x14ac:dyDescent="0.35">
      <c r="A2" s="151" t="s">
        <v>126</v>
      </c>
      <c r="B2" s="151"/>
      <c r="C2" s="151" t="s">
        <v>127</v>
      </c>
      <c r="D2" s="151" t="s">
        <v>250</v>
      </c>
      <c r="E2" s="151" t="s">
        <v>129</v>
      </c>
      <c r="F2" s="151" t="s">
        <v>251</v>
      </c>
    </row>
    <row r="3" spans="1:6" x14ac:dyDescent="0.35">
      <c r="B3" t="s">
        <v>252</v>
      </c>
      <c r="C3" t="s">
        <v>253</v>
      </c>
      <c r="D3" t="s">
        <v>254</v>
      </c>
    </row>
    <row r="4" spans="1:6" x14ac:dyDescent="0.35">
      <c r="B4" t="s">
        <v>255</v>
      </c>
      <c r="C4" t="s">
        <v>256</v>
      </c>
      <c r="D4" t="s">
        <v>254</v>
      </c>
    </row>
    <row r="5" spans="1:6" x14ac:dyDescent="0.35">
      <c r="A5" s="151" t="s">
        <v>130</v>
      </c>
      <c r="B5" s="151"/>
      <c r="C5" s="151" t="s">
        <v>131</v>
      </c>
      <c r="D5" s="151" t="s">
        <v>250</v>
      </c>
      <c r="E5" s="151" t="s">
        <v>129</v>
      </c>
      <c r="F5" s="151" t="s">
        <v>251</v>
      </c>
    </row>
    <row r="6" spans="1:6" x14ac:dyDescent="0.35">
      <c r="B6" t="s">
        <v>257</v>
      </c>
      <c r="C6" t="s">
        <v>253</v>
      </c>
      <c r="D6" t="s">
        <v>254</v>
      </c>
    </row>
    <row r="7" spans="1:6" x14ac:dyDescent="0.35">
      <c r="B7" t="s">
        <v>258</v>
      </c>
      <c r="C7" t="s">
        <v>256</v>
      </c>
      <c r="D7" t="s">
        <v>254</v>
      </c>
    </row>
    <row r="8" spans="1:6" x14ac:dyDescent="0.35">
      <c r="B8" t="s">
        <v>259</v>
      </c>
      <c r="C8" t="s">
        <v>260</v>
      </c>
      <c r="D8" t="s">
        <v>254</v>
      </c>
    </row>
    <row r="9" spans="1:6" x14ac:dyDescent="0.35">
      <c r="A9" s="151" t="s">
        <v>132</v>
      </c>
      <c r="B9" s="151"/>
      <c r="C9" s="151" t="s">
        <v>133</v>
      </c>
      <c r="D9" s="151" t="s">
        <v>250</v>
      </c>
      <c r="E9" s="151" t="s">
        <v>129</v>
      </c>
      <c r="F9" s="151" t="s">
        <v>251</v>
      </c>
    </row>
    <row r="10" spans="1:6" x14ac:dyDescent="0.35">
      <c r="B10" t="s">
        <v>257</v>
      </c>
      <c r="C10" t="s">
        <v>261</v>
      </c>
      <c r="D10" t="s">
        <v>254</v>
      </c>
    </row>
    <row r="11" spans="1:6" x14ac:dyDescent="0.35">
      <c r="B11" t="s">
        <v>258</v>
      </c>
      <c r="C11" t="s">
        <v>262</v>
      </c>
      <c r="D11" t="s">
        <v>254</v>
      </c>
    </row>
    <row r="12" spans="1:6" x14ac:dyDescent="0.35">
      <c r="B12" t="s">
        <v>259</v>
      </c>
      <c r="C12" t="s">
        <v>263</v>
      </c>
      <c r="D12" t="s">
        <v>254</v>
      </c>
    </row>
    <row r="13" spans="1:6" x14ac:dyDescent="0.35">
      <c r="B13" t="s">
        <v>264</v>
      </c>
      <c r="C13" t="s">
        <v>265</v>
      </c>
      <c r="D13" t="s">
        <v>254</v>
      </c>
    </row>
    <row r="14" spans="1:6" x14ac:dyDescent="0.35">
      <c r="B14" t="s">
        <v>266</v>
      </c>
      <c r="C14" t="s">
        <v>267</v>
      </c>
      <c r="D14" t="s">
        <v>254</v>
      </c>
    </row>
    <row r="15" spans="1:6" x14ac:dyDescent="0.35">
      <c r="B15" t="s">
        <v>268</v>
      </c>
      <c r="C15" t="s">
        <v>269</v>
      </c>
      <c r="D15" t="s">
        <v>254</v>
      </c>
    </row>
    <row r="16" spans="1:6" x14ac:dyDescent="0.35">
      <c r="B16" t="s">
        <v>270</v>
      </c>
      <c r="C16" t="s">
        <v>271</v>
      </c>
      <c r="D16" t="s">
        <v>254</v>
      </c>
    </row>
    <row r="17" spans="2:4" x14ac:dyDescent="0.35">
      <c r="B17" t="s">
        <v>272</v>
      </c>
      <c r="C17" t="s">
        <v>273</v>
      </c>
      <c r="D17" t="s">
        <v>254</v>
      </c>
    </row>
    <row r="18" spans="2:4" x14ac:dyDescent="0.35">
      <c r="B18" t="s">
        <v>274</v>
      </c>
      <c r="C18" t="s">
        <v>275</v>
      </c>
      <c r="D18" t="s">
        <v>254</v>
      </c>
    </row>
    <row r="19" spans="2:4" x14ac:dyDescent="0.35">
      <c r="B19" t="s">
        <v>276</v>
      </c>
      <c r="C19" t="s">
        <v>277</v>
      </c>
      <c r="D19" t="s">
        <v>254</v>
      </c>
    </row>
    <row r="20" spans="2:4" x14ac:dyDescent="0.35">
      <c r="B20" t="s">
        <v>278</v>
      </c>
      <c r="C20" t="s">
        <v>279</v>
      </c>
      <c r="D20" t="s">
        <v>254</v>
      </c>
    </row>
    <row r="21" spans="2:4" x14ac:dyDescent="0.35">
      <c r="B21" t="s">
        <v>280</v>
      </c>
      <c r="C21" t="s">
        <v>281</v>
      </c>
      <c r="D21" t="s">
        <v>254</v>
      </c>
    </row>
    <row r="22" spans="2:4" x14ac:dyDescent="0.35">
      <c r="B22" t="s">
        <v>282</v>
      </c>
      <c r="C22" t="s">
        <v>283</v>
      </c>
      <c r="D22" t="s">
        <v>254</v>
      </c>
    </row>
    <row r="23" spans="2:4" x14ac:dyDescent="0.35">
      <c r="B23" t="s">
        <v>284</v>
      </c>
      <c r="C23" t="s">
        <v>285</v>
      </c>
      <c r="D23" t="s">
        <v>254</v>
      </c>
    </row>
    <row r="24" spans="2:4" x14ac:dyDescent="0.35">
      <c r="B24" t="s">
        <v>286</v>
      </c>
      <c r="C24" t="s">
        <v>287</v>
      </c>
      <c r="D24" t="s">
        <v>254</v>
      </c>
    </row>
    <row r="25" spans="2:4" x14ac:dyDescent="0.35">
      <c r="B25" t="s">
        <v>288</v>
      </c>
      <c r="C25" t="s">
        <v>289</v>
      </c>
      <c r="D25" t="s">
        <v>254</v>
      </c>
    </row>
    <row r="26" spans="2:4" x14ac:dyDescent="0.35">
      <c r="B26" t="s">
        <v>290</v>
      </c>
      <c r="C26" t="s">
        <v>291</v>
      </c>
      <c r="D26" t="s">
        <v>254</v>
      </c>
    </row>
    <row r="27" spans="2:4" x14ac:dyDescent="0.35">
      <c r="B27" t="s">
        <v>292</v>
      </c>
      <c r="C27" t="s">
        <v>293</v>
      </c>
      <c r="D27" t="s">
        <v>254</v>
      </c>
    </row>
    <row r="28" spans="2:4" x14ac:dyDescent="0.35">
      <c r="B28" t="s">
        <v>294</v>
      </c>
      <c r="C28" t="s">
        <v>295</v>
      </c>
      <c r="D28" t="s">
        <v>254</v>
      </c>
    </row>
    <row r="29" spans="2:4" x14ac:dyDescent="0.35">
      <c r="B29" t="s">
        <v>296</v>
      </c>
      <c r="C29" t="s">
        <v>297</v>
      </c>
      <c r="D29" t="s">
        <v>254</v>
      </c>
    </row>
    <row r="30" spans="2:4" x14ac:dyDescent="0.35">
      <c r="B30" t="s">
        <v>298</v>
      </c>
      <c r="C30" t="s">
        <v>299</v>
      </c>
      <c r="D30" t="s">
        <v>254</v>
      </c>
    </row>
    <row r="31" spans="2:4" x14ac:dyDescent="0.35">
      <c r="B31" t="s">
        <v>300</v>
      </c>
      <c r="C31" t="s">
        <v>301</v>
      </c>
      <c r="D31" t="s">
        <v>254</v>
      </c>
    </row>
    <row r="32" spans="2:4" x14ac:dyDescent="0.35">
      <c r="B32" t="s">
        <v>302</v>
      </c>
      <c r="C32" t="s">
        <v>303</v>
      </c>
      <c r="D32" t="s">
        <v>254</v>
      </c>
    </row>
    <row r="33" spans="2:4" x14ac:dyDescent="0.35">
      <c r="B33" t="s">
        <v>304</v>
      </c>
      <c r="C33" t="s">
        <v>305</v>
      </c>
      <c r="D33" t="s">
        <v>254</v>
      </c>
    </row>
    <row r="34" spans="2:4" x14ac:dyDescent="0.35">
      <c r="B34" t="s">
        <v>306</v>
      </c>
      <c r="C34" t="s">
        <v>307</v>
      </c>
      <c r="D34" t="s">
        <v>254</v>
      </c>
    </row>
    <row r="35" spans="2:4" x14ac:dyDescent="0.35">
      <c r="B35" t="s">
        <v>308</v>
      </c>
      <c r="C35" t="s">
        <v>309</v>
      </c>
      <c r="D35" t="s">
        <v>254</v>
      </c>
    </row>
    <row r="36" spans="2:4" x14ac:dyDescent="0.35">
      <c r="B36" t="s">
        <v>310</v>
      </c>
      <c r="C36" t="s">
        <v>311</v>
      </c>
      <c r="D36" t="s">
        <v>254</v>
      </c>
    </row>
    <row r="37" spans="2:4" x14ac:dyDescent="0.35">
      <c r="B37" t="s">
        <v>312</v>
      </c>
      <c r="C37" t="s">
        <v>313</v>
      </c>
      <c r="D37" t="s">
        <v>254</v>
      </c>
    </row>
    <row r="38" spans="2:4" x14ac:dyDescent="0.35">
      <c r="B38" t="s">
        <v>314</v>
      </c>
      <c r="C38" t="s">
        <v>315</v>
      </c>
      <c r="D38" t="s">
        <v>254</v>
      </c>
    </row>
    <row r="39" spans="2:4" x14ac:dyDescent="0.35">
      <c r="B39" t="s">
        <v>316</v>
      </c>
      <c r="C39" t="s">
        <v>317</v>
      </c>
      <c r="D39" t="s">
        <v>254</v>
      </c>
    </row>
    <row r="40" spans="2:4" x14ac:dyDescent="0.35">
      <c r="B40" t="s">
        <v>318</v>
      </c>
      <c r="C40" t="s">
        <v>319</v>
      </c>
      <c r="D40" t="s">
        <v>254</v>
      </c>
    </row>
    <row r="41" spans="2:4" x14ac:dyDescent="0.35">
      <c r="B41" t="s">
        <v>320</v>
      </c>
      <c r="C41" t="s">
        <v>321</v>
      </c>
      <c r="D41" t="s">
        <v>254</v>
      </c>
    </row>
    <row r="42" spans="2:4" x14ac:dyDescent="0.35">
      <c r="B42" t="s">
        <v>322</v>
      </c>
      <c r="C42" t="s">
        <v>323</v>
      </c>
      <c r="D42" t="s">
        <v>254</v>
      </c>
    </row>
    <row r="43" spans="2:4" x14ac:dyDescent="0.35">
      <c r="B43" t="s">
        <v>324</v>
      </c>
      <c r="C43" t="s">
        <v>325</v>
      </c>
      <c r="D43" t="s">
        <v>254</v>
      </c>
    </row>
    <row r="44" spans="2:4" x14ac:dyDescent="0.35">
      <c r="B44" t="s">
        <v>326</v>
      </c>
      <c r="C44" t="s">
        <v>327</v>
      </c>
      <c r="D44" t="s">
        <v>254</v>
      </c>
    </row>
    <row r="45" spans="2:4" x14ac:dyDescent="0.35">
      <c r="B45" t="s">
        <v>328</v>
      </c>
      <c r="C45" t="s">
        <v>329</v>
      </c>
      <c r="D45" t="s">
        <v>254</v>
      </c>
    </row>
    <row r="46" spans="2:4" x14ac:dyDescent="0.35">
      <c r="B46" t="s">
        <v>330</v>
      </c>
      <c r="C46" t="s">
        <v>331</v>
      </c>
      <c r="D46" t="s">
        <v>254</v>
      </c>
    </row>
    <row r="47" spans="2:4" x14ac:dyDescent="0.35">
      <c r="B47" t="s">
        <v>332</v>
      </c>
      <c r="C47" t="s">
        <v>333</v>
      </c>
      <c r="D47" t="s">
        <v>254</v>
      </c>
    </row>
    <row r="48" spans="2:4" x14ac:dyDescent="0.35">
      <c r="B48" t="s">
        <v>334</v>
      </c>
      <c r="C48" t="s">
        <v>335</v>
      </c>
      <c r="D48" t="s">
        <v>254</v>
      </c>
    </row>
    <row r="49" spans="2:4" x14ac:dyDescent="0.35">
      <c r="B49" t="s">
        <v>336</v>
      </c>
      <c r="C49" t="s">
        <v>337</v>
      </c>
      <c r="D49" t="s">
        <v>254</v>
      </c>
    </row>
    <row r="50" spans="2:4" x14ac:dyDescent="0.35">
      <c r="B50" t="s">
        <v>338</v>
      </c>
      <c r="C50" t="s">
        <v>339</v>
      </c>
      <c r="D50" t="s">
        <v>254</v>
      </c>
    </row>
    <row r="51" spans="2:4" x14ac:dyDescent="0.35">
      <c r="B51" t="s">
        <v>340</v>
      </c>
      <c r="C51" t="s">
        <v>341</v>
      </c>
      <c r="D51" t="s">
        <v>254</v>
      </c>
    </row>
    <row r="52" spans="2:4" x14ac:dyDescent="0.35">
      <c r="B52" t="s">
        <v>342</v>
      </c>
      <c r="C52" t="s">
        <v>343</v>
      </c>
      <c r="D52" t="s">
        <v>254</v>
      </c>
    </row>
    <row r="53" spans="2:4" x14ac:dyDescent="0.35">
      <c r="B53" t="s">
        <v>344</v>
      </c>
      <c r="C53" t="s">
        <v>345</v>
      </c>
      <c r="D53" t="s">
        <v>254</v>
      </c>
    </row>
    <row r="54" spans="2:4" x14ac:dyDescent="0.35">
      <c r="B54" t="s">
        <v>346</v>
      </c>
      <c r="C54" t="s">
        <v>347</v>
      </c>
      <c r="D54" t="s">
        <v>254</v>
      </c>
    </row>
    <row r="55" spans="2:4" x14ac:dyDescent="0.35">
      <c r="B55" t="s">
        <v>348</v>
      </c>
      <c r="C55" t="s">
        <v>349</v>
      </c>
      <c r="D55" t="s">
        <v>254</v>
      </c>
    </row>
    <row r="56" spans="2:4" x14ac:dyDescent="0.35">
      <c r="B56" t="s">
        <v>350</v>
      </c>
      <c r="C56" t="s">
        <v>351</v>
      </c>
      <c r="D56" t="s">
        <v>254</v>
      </c>
    </row>
    <row r="57" spans="2:4" x14ac:dyDescent="0.35">
      <c r="B57" t="s">
        <v>352</v>
      </c>
      <c r="C57" t="s">
        <v>353</v>
      </c>
      <c r="D57" t="s">
        <v>254</v>
      </c>
    </row>
    <row r="58" spans="2:4" x14ac:dyDescent="0.35">
      <c r="B58" t="s">
        <v>354</v>
      </c>
      <c r="C58" t="s">
        <v>355</v>
      </c>
      <c r="D58" t="s">
        <v>254</v>
      </c>
    </row>
    <row r="59" spans="2:4" x14ac:dyDescent="0.35">
      <c r="B59" t="s">
        <v>356</v>
      </c>
      <c r="C59" t="s">
        <v>357</v>
      </c>
      <c r="D59" t="s">
        <v>254</v>
      </c>
    </row>
    <row r="60" spans="2:4" x14ac:dyDescent="0.35">
      <c r="B60" t="s">
        <v>358</v>
      </c>
      <c r="C60" t="s">
        <v>359</v>
      </c>
      <c r="D60" t="s">
        <v>254</v>
      </c>
    </row>
    <row r="61" spans="2:4" x14ac:dyDescent="0.35">
      <c r="B61" t="s">
        <v>360</v>
      </c>
      <c r="C61" t="s">
        <v>361</v>
      </c>
      <c r="D61" t="s">
        <v>254</v>
      </c>
    </row>
    <row r="62" spans="2:4" x14ac:dyDescent="0.35">
      <c r="B62" t="s">
        <v>362</v>
      </c>
      <c r="C62" t="s">
        <v>363</v>
      </c>
      <c r="D62" t="s">
        <v>254</v>
      </c>
    </row>
    <row r="63" spans="2:4" x14ac:dyDescent="0.35">
      <c r="B63" t="s">
        <v>364</v>
      </c>
      <c r="C63" t="s">
        <v>365</v>
      </c>
      <c r="D63" t="s">
        <v>254</v>
      </c>
    </row>
    <row r="64" spans="2:4" x14ac:dyDescent="0.35">
      <c r="B64" t="s">
        <v>366</v>
      </c>
      <c r="C64" t="s">
        <v>367</v>
      </c>
      <c r="D64" t="s">
        <v>254</v>
      </c>
    </row>
    <row r="65" spans="2:4" x14ac:dyDescent="0.35">
      <c r="B65" t="s">
        <v>368</v>
      </c>
      <c r="C65" t="s">
        <v>369</v>
      </c>
      <c r="D65" t="s">
        <v>254</v>
      </c>
    </row>
    <row r="66" spans="2:4" x14ac:dyDescent="0.35">
      <c r="B66" t="s">
        <v>370</v>
      </c>
      <c r="C66" t="s">
        <v>371</v>
      </c>
      <c r="D66" t="s">
        <v>254</v>
      </c>
    </row>
    <row r="67" spans="2:4" x14ac:dyDescent="0.35">
      <c r="B67" t="s">
        <v>372</v>
      </c>
      <c r="C67" t="s">
        <v>373</v>
      </c>
      <c r="D67" t="s">
        <v>254</v>
      </c>
    </row>
    <row r="68" spans="2:4" x14ac:dyDescent="0.35">
      <c r="B68" t="s">
        <v>374</v>
      </c>
      <c r="C68" t="s">
        <v>375</v>
      </c>
      <c r="D68" t="s">
        <v>254</v>
      </c>
    </row>
    <row r="69" spans="2:4" x14ac:dyDescent="0.35">
      <c r="B69" t="s">
        <v>376</v>
      </c>
      <c r="C69" t="s">
        <v>377</v>
      </c>
      <c r="D69" t="s">
        <v>254</v>
      </c>
    </row>
    <row r="70" spans="2:4" x14ac:dyDescent="0.35">
      <c r="B70" t="s">
        <v>378</v>
      </c>
      <c r="C70" t="s">
        <v>379</v>
      </c>
      <c r="D70" t="s">
        <v>254</v>
      </c>
    </row>
    <row r="71" spans="2:4" x14ac:dyDescent="0.35">
      <c r="B71" t="s">
        <v>380</v>
      </c>
      <c r="C71" t="s">
        <v>381</v>
      </c>
      <c r="D71" t="s">
        <v>254</v>
      </c>
    </row>
    <row r="72" spans="2:4" x14ac:dyDescent="0.35">
      <c r="B72" t="s">
        <v>382</v>
      </c>
      <c r="C72" t="s">
        <v>383</v>
      </c>
      <c r="D72" t="s">
        <v>254</v>
      </c>
    </row>
    <row r="73" spans="2:4" x14ac:dyDescent="0.35">
      <c r="B73" t="s">
        <v>384</v>
      </c>
      <c r="C73" t="s">
        <v>385</v>
      </c>
      <c r="D73" t="s">
        <v>254</v>
      </c>
    </row>
    <row r="74" spans="2:4" x14ac:dyDescent="0.35">
      <c r="B74" t="s">
        <v>386</v>
      </c>
      <c r="C74" t="s">
        <v>387</v>
      </c>
      <c r="D74" t="s">
        <v>254</v>
      </c>
    </row>
    <row r="75" spans="2:4" x14ac:dyDescent="0.35">
      <c r="B75" t="s">
        <v>388</v>
      </c>
      <c r="C75" t="s">
        <v>389</v>
      </c>
      <c r="D75" t="s">
        <v>254</v>
      </c>
    </row>
    <row r="76" spans="2:4" x14ac:dyDescent="0.35">
      <c r="B76" t="s">
        <v>390</v>
      </c>
      <c r="C76" t="s">
        <v>391</v>
      </c>
      <c r="D76" t="s">
        <v>254</v>
      </c>
    </row>
    <row r="77" spans="2:4" x14ac:dyDescent="0.35">
      <c r="B77" t="s">
        <v>392</v>
      </c>
      <c r="C77" t="s">
        <v>393</v>
      </c>
      <c r="D77" t="s">
        <v>254</v>
      </c>
    </row>
    <row r="78" spans="2:4" x14ac:dyDescent="0.35">
      <c r="B78" t="s">
        <v>394</v>
      </c>
      <c r="C78" t="s">
        <v>395</v>
      </c>
      <c r="D78" t="s">
        <v>254</v>
      </c>
    </row>
    <row r="79" spans="2:4" x14ac:dyDescent="0.35">
      <c r="B79" t="s">
        <v>396</v>
      </c>
      <c r="C79" t="s">
        <v>397</v>
      </c>
      <c r="D79" t="s">
        <v>254</v>
      </c>
    </row>
    <row r="80" spans="2:4" x14ac:dyDescent="0.35">
      <c r="B80" t="s">
        <v>398</v>
      </c>
      <c r="C80" t="s">
        <v>399</v>
      </c>
      <c r="D80" t="s">
        <v>254</v>
      </c>
    </row>
    <row r="81" spans="2:4" x14ac:dyDescent="0.35">
      <c r="B81" t="s">
        <v>400</v>
      </c>
      <c r="C81" t="s">
        <v>401</v>
      </c>
      <c r="D81" t="s">
        <v>254</v>
      </c>
    </row>
    <row r="82" spans="2:4" x14ac:dyDescent="0.35">
      <c r="B82" t="s">
        <v>402</v>
      </c>
      <c r="C82" t="s">
        <v>403</v>
      </c>
      <c r="D82" t="s">
        <v>254</v>
      </c>
    </row>
    <row r="83" spans="2:4" x14ac:dyDescent="0.35">
      <c r="B83" t="s">
        <v>404</v>
      </c>
      <c r="C83" t="s">
        <v>405</v>
      </c>
      <c r="D83" t="s">
        <v>254</v>
      </c>
    </row>
    <row r="84" spans="2:4" x14ac:dyDescent="0.35">
      <c r="B84" t="s">
        <v>406</v>
      </c>
      <c r="C84" t="s">
        <v>407</v>
      </c>
      <c r="D84" t="s">
        <v>254</v>
      </c>
    </row>
    <row r="85" spans="2:4" x14ac:dyDescent="0.35">
      <c r="B85" t="s">
        <v>408</v>
      </c>
      <c r="C85" t="s">
        <v>409</v>
      </c>
      <c r="D85" t="s">
        <v>254</v>
      </c>
    </row>
    <row r="86" spans="2:4" x14ac:dyDescent="0.35">
      <c r="B86" t="s">
        <v>410</v>
      </c>
      <c r="C86" t="s">
        <v>411</v>
      </c>
      <c r="D86" t="s">
        <v>254</v>
      </c>
    </row>
    <row r="87" spans="2:4" x14ac:dyDescent="0.35">
      <c r="B87" t="s">
        <v>412</v>
      </c>
      <c r="C87" t="s">
        <v>413</v>
      </c>
      <c r="D87" t="s">
        <v>254</v>
      </c>
    </row>
    <row r="88" spans="2:4" x14ac:dyDescent="0.35">
      <c r="B88" t="s">
        <v>414</v>
      </c>
      <c r="C88" t="s">
        <v>415</v>
      </c>
      <c r="D88" t="s">
        <v>254</v>
      </c>
    </row>
    <row r="89" spans="2:4" x14ac:dyDescent="0.35">
      <c r="B89" t="s">
        <v>416</v>
      </c>
      <c r="C89" t="s">
        <v>417</v>
      </c>
      <c r="D89" t="s">
        <v>254</v>
      </c>
    </row>
    <row r="90" spans="2:4" x14ac:dyDescent="0.35">
      <c r="B90" t="s">
        <v>418</v>
      </c>
      <c r="C90" t="s">
        <v>419</v>
      </c>
      <c r="D90" t="s">
        <v>254</v>
      </c>
    </row>
    <row r="91" spans="2:4" x14ac:dyDescent="0.35">
      <c r="B91" t="s">
        <v>420</v>
      </c>
      <c r="C91" t="s">
        <v>421</v>
      </c>
      <c r="D91" t="s">
        <v>254</v>
      </c>
    </row>
    <row r="92" spans="2:4" x14ac:dyDescent="0.35">
      <c r="B92" t="s">
        <v>422</v>
      </c>
      <c r="C92" t="s">
        <v>423</v>
      </c>
      <c r="D92" t="s">
        <v>254</v>
      </c>
    </row>
    <row r="93" spans="2:4" x14ac:dyDescent="0.35">
      <c r="B93" t="s">
        <v>424</v>
      </c>
      <c r="C93" t="s">
        <v>425</v>
      </c>
      <c r="D93" t="s">
        <v>254</v>
      </c>
    </row>
    <row r="94" spans="2:4" x14ac:dyDescent="0.35">
      <c r="B94" t="s">
        <v>426</v>
      </c>
      <c r="C94" t="s">
        <v>427</v>
      </c>
      <c r="D94" t="s">
        <v>254</v>
      </c>
    </row>
    <row r="95" spans="2:4" x14ac:dyDescent="0.35">
      <c r="B95" t="s">
        <v>428</v>
      </c>
      <c r="C95" t="s">
        <v>429</v>
      </c>
      <c r="D95" t="s">
        <v>254</v>
      </c>
    </row>
    <row r="96" spans="2:4" x14ac:dyDescent="0.35">
      <c r="B96" t="s">
        <v>430</v>
      </c>
      <c r="C96" t="s">
        <v>431</v>
      </c>
      <c r="D96" t="s">
        <v>254</v>
      </c>
    </row>
    <row r="97" spans="2:4" x14ac:dyDescent="0.35">
      <c r="B97" t="s">
        <v>432</v>
      </c>
      <c r="C97" t="s">
        <v>433</v>
      </c>
      <c r="D97" t="s">
        <v>254</v>
      </c>
    </row>
    <row r="98" spans="2:4" x14ac:dyDescent="0.35">
      <c r="B98" t="s">
        <v>434</v>
      </c>
      <c r="C98" t="s">
        <v>435</v>
      </c>
      <c r="D98" t="s">
        <v>254</v>
      </c>
    </row>
    <row r="99" spans="2:4" x14ac:dyDescent="0.35">
      <c r="B99" t="s">
        <v>436</v>
      </c>
      <c r="C99" t="s">
        <v>437</v>
      </c>
      <c r="D99" t="s">
        <v>254</v>
      </c>
    </row>
    <row r="100" spans="2:4" x14ac:dyDescent="0.35">
      <c r="B100" t="s">
        <v>438</v>
      </c>
      <c r="C100" t="s">
        <v>439</v>
      </c>
      <c r="D100" t="s">
        <v>254</v>
      </c>
    </row>
    <row r="101" spans="2:4" x14ac:dyDescent="0.35">
      <c r="B101" t="s">
        <v>440</v>
      </c>
      <c r="C101" t="s">
        <v>441</v>
      </c>
      <c r="D101" t="s">
        <v>254</v>
      </c>
    </row>
    <row r="102" spans="2:4" x14ac:dyDescent="0.35">
      <c r="B102" t="s">
        <v>442</v>
      </c>
      <c r="C102" t="s">
        <v>443</v>
      </c>
      <c r="D102" t="s">
        <v>254</v>
      </c>
    </row>
    <row r="103" spans="2:4" x14ac:dyDescent="0.35">
      <c r="B103" t="s">
        <v>444</v>
      </c>
      <c r="C103" t="s">
        <v>445</v>
      </c>
      <c r="D103" t="s">
        <v>254</v>
      </c>
    </row>
    <row r="104" spans="2:4" x14ac:dyDescent="0.35">
      <c r="B104" t="s">
        <v>446</v>
      </c>
      <c r="C104" t="s">
        <v>447</v>
      </c>
      <c r="D104" t="s">
        <v>254</v>
      </c>
    </row>
    <row r="105" spans="2:4" x14ac:dyDescent="0.35">
      <c r="B105" t="s">
        <v>448</v>
      </c>
      <c r="C105" t="s">
        <v>449</v>
      </c>
      <c r="D105" t="s">
        <v>254</v>
      </c>
    </row>
    <row r="106" spans="2:4" x14ac:dyDescent="0.35">
      <c r="B106" t="s">
        <v>450</v>
      </c>
      <c r="C106" t="s">
        <v>451</v>
      </c>
      <c r="D106" t="s">
        <v>254</v>
      </c>
    </row>
    <row r="107" spans="2:4" x14ac:dyDescent="0.35">
      <c r="B107" t="s">
        <v>452</v>
      </c>
      <c r="C107" t="s">
        <v>453</v>
      </c>
      <c r="D107" t="s">
        <v>254</v>
      </c>
    </row>
    <row r="108" spans="2:4" x14ac:dyDescent="0.35">
      <c r="B108" t="s">
        <v>454</v>
      </c>
      <c r="C108" t="s">
        <v>455</v>
      </c>
      <c r="D108" t="s">
        <v>254</v>
      </c>
    </row>
    <row r="109" spans="2:4" x14ac:dyDescent="0.35">
      <c r="B109" t="s">
        <v>456</v>
      </c>
      <c r="C109" t="s">
        <v>457</v>
      </c>
      <c r="D109" t="s">
        <v>254</v>
      </c>
    </row>
    <row r="110" spans="2:4" x14ac:dyDescent="0.35">
      <c r="B110" t="s">
        <v>458</v>
      </c>
      <c r="C110" t="s">
        <v>459</v>
      </c>
      <c r="D110" t="s">
        <v>254</v>
      </c>
    </row>
    <row r="111" spans="2:4" x14ac:dyDescent="0.35">
      <c r="B111" t="s">
        <v>460</v>
      </c>
      <c r="C111" t="s">
        <v>461</v>
      </c>
      <c r="D111" t="s">
        <v>254</v>
      </c>
    </row>
    <row r="112" spans="2:4" x14ac:dyDescent="0.35">
      <c r="B112" t="s">
        <v>462</v>
      </c>
      <c r="C112" t="s">
        <v>463</v>
      </c>
      <c r="D112" t="s">
        <v>254</v>
      </c>
    </row>
    <row r="113" spans="1:6" x14ac:dyDescent="0.35">
      <c r="B113" t="s">
        <v>464</v>
      </c>
      <c r="C113" t="s">
        <v>465</v>
      </c>
      <c r="D113" t="s">
        <v>254</v>
      </c>
    </row>
    <row r="114" spans="1:6" x14ac:dyDescent="0.35">
      <c r="B114" t="s">
        <v>466</v>
      </c>
      <c r="C114" t="s">
        <v>467</v>
      </c>
      <c r="D114" t="s">
        <v>254</v>
      </c>
    </row>
    <row r="115" spans="1:6" x14ac:dyDescent="0.35">
      <c r="B115" t="s">
        <v>468</v>
      </c>
      <c r="C115" t="s">
        <v>469</v>
      </c>
      <c r="D115" t="s">
        <v>254</v>
      </c>
    </row>
    <row r="116" spans="1:6" x14ac:dyDescent="0.35">
      <c r="B116" t="s">
        <v>470</v>
      </c>
      <c r="C116" t="s">
        <v>471</v>
      </c>
      <c r="D116" t="s">
        <v>254</v>
      </c>
    </row>
    <row r="117" spans="1:6" x14ac:dyDescent="0.35">
      <c r="B117" t="s">
        <v>472</v>
      </c>
      <c r="C117" t="s">
        <v>473</v>
      </c>
      <c r="D117" t="s">
        <v>254</v>
      </c>
    </row>
    <row r="118" spans="1:6" x14ac:dyDescent="0.35">
      <c r="B118" t="s">
        <v>474</v>
      </c>
      <c r="C118" t="s">
        <v>475</v>
      </c>
      <c r="D118" t="s">
        <v>254</v>
      </c>
    </row>
    <row r="119" spans="1:6" x14ac:dyDescent="0.35">
      <c r="B119" t="s">
        <v>476</v>
      </c>
      <c r="C119" t="s">
        <v>477</v>
      </c>
      <c r="D119" t="s">
        <v>254</v>
      </c>
    </row>
    <row r="120" spans="1:6" x14ac:dyDescent="0.35">
      <c r="B120" t="s">
        <v>478</v>
      </c>
      <c r="C120" t="s">
        <v>479</v>
      </c>
      <c r="D120" t="s">
        <v>254</v>
      </c>
    </row>
    <row r="121" spans="1:6" x14ac:dyDescent="0.35">
      <c r="A121" s="151" t="s">
        <v>134</v>
      </c>
      <c r="B121" s="151"/>
      <c r="C121" s="151" t="s">
        <v>135</v>
      </c>
      <c r="D121" s="151" t="s">
        <v>250</v>
      </c>
      <c r="E121" s="151" t="s">
        <v>129</v>
      </c>
      <c r="F121" s="151" t="s">
        <v>251</v>
      </c>
    </row>
    <row r="122" spans="1:6" x14ac:dyDescent="0.35">
      <c r="B122" t="s">
        <v>480</v>
      </c>
      <c r="C122" t="s">
        <v>481</v>
      </c>
      <c r="D122" t="s">
        <v>254</v>
      </c>
    </row>
    <row r="123" spans="1:6" x14ac:dyDescent="0.35">
      <c r="B123" t="s">
        <v>482</v>
      </c>
      <c r="C123" t="s">
        <v>483</v>
      </c>
      <c r="D123" t="s">
        <v>254</v>
      </c>
    </row>
    <row r="124" spans="1:6" x14ac:dyDescent="0.35">
      <c r="B124" t="s">
        <v>484</v>
      </c>
      <c r="C124" t="s">
        <v>485</v>
      </c>
      <c r="D124" t="s">
        <v>254</v>
      </c>
    </row>
    <row r="125" spans="1:6" x14ac:dyDescent="0.35">
      <c r="B125" t="s">
        <v>486</v>
      </c>
      <c r="C125" t="s">
        <v>487</v>
      </c>
      <c r="D125" t="s">
        <v>254</v>
      </c>
    </row>
    <row r="126" spans="1:6" x14ac:dyDescent="0.35">
      <c r="A126" s="151" t="s">
        <v>136</v>
      </c>
      <c r="B126" s="151"/>
      <c r="C126" s="151" t="s">
        <v>136</v>
      </c>
      <c r="D126" s="151" t="s">
        <v>250</v>
      </c>
      <c r="E126" s="151" t="s">
        <v>137</v>
      </c>
      <c r="F126" s="151" t="s">
        <v>488</v>
      </c>
    </row>
    <row r="127" spans="1:6" x14ac:dyDescent="0.35">
      <c r="B127" t="s">
        <v>257</v>
      </c>
      <c r="C127" t="s">
        <v>489</v>
      </c>
      <c r="D127" t="s">
        <v>254</v>
      </c>
    </row>
    <row r="128" spans="1:6" x14ac:dyDescent="0.35">
      <c r="A128" s="151" t="s">
        <v>138</v>
      </c>
      <c r="B128" s="151"/>
      <c r="C128" s="151" t="s">
        <v>139</v>
      </c>
      <c r="D128" s="151" t="s">
        <v>250</v>
      </c>
      <c r="E128" s="151" t="s">
        <v>137</v>
      </c>
      <c r="F128" s="151" t="s">
        <v>488</v>
      </c>
    </row>
    <row r="129" spans="1:6" x14ac:dyDescent="0.35">
      <c r="B129" t="s">
        <v>257</v>
      </c>
      <c r="C129" t="s">
        <v>490</v>
      </c>
      <c r="D129" t="s">
        <v>254</v>
      </c>
    </row>
    <row r="130" spans="1:6" x14ac:dyDescent="0.35">
      <c r="A130" s="151" t="s">
        <v>140</v>
      </c>
      <c r="B130" s="151"/>
      <c r="C130" s="151" t="s">
        <v>140</v>
      </c>
      <c r="D130" s="151" t="s">
        <v>250</v>
      </c>
      <c r="E130" s="151" t="s">
        <v>137</v>
      </c>
      <c r="F130" s="151" t="s">
        <v>488</v>
      </c>
    </row>
    <row r="131" spans="1:6" x14ac:dyDescent="0.35">
      <c r="B131" t="s">
        <v>257</v>
      </c>
      <c r="C131" t="s">
        <v>491</v>
      </c>
      <c r="D131" t="s">
        <v>254</v>
      </c>
    </row>
    <row r="132" spans="1:6" x14ac:dyDescent="0.35">
      <c r="B132" t="s">
        <v>258</v>
      </c>
      <c r="C132" t="s">
        <v>492</v>
      </c>
      <c r="D132" t="s">
        <v>254</v>
      </c>
    </row>
    <row r="133" spans="1:6" x14ac:dyDescent="0.35">
      <c r="B133" t="s">
        <v>259</v>
      </c>
      <c r="C133" t="s">
        <v>493</v>
      </c>
      <c r="D133" t="s">
        <v>254</v>
      </c>
    </row>
    <row r="134" spans="1:6" x14ac:dyDescent="0.35">
      <c r="B134" t="s">
        <v>264</v>
      </c>
      <c r="C134" t="s">
        <v>494</v>
      </c>
      <c r="D134" t="s">
        <v>254</v>
      </c>
    </row>
    <row r="135" spans="1:6" x14ac:dyDescent="0.35">
      <c r="B135" t="s">
        <v>266</v>
      </c>
      <c r="C135" t="s">
        <v>495</v>
      </c>
      <c r="D135" t="s">
        <v>254</v>
      </c>
    </row>
    <row r="136" spans="1:6" x14ac:dyDescent="0.35">
      <c r="B136" t="s">
        <v>268</v>
      </c>
      <c r="C136" t="s">
        <v>496</v>
      </c>
      <c r="D136" t="s">
        <v>254</v>
      </c>
    </row>
    <row r="137" spans="1:6" x14ac:dyDescent="0.35">
      <c r="B137" t="s">
        <v>270</v>
      </c>
      <c r="C137" t="s">
        <v>497</v>
      </c>
      <c r="D137" t="s">
        <v>254</v>
      </c>
    </row>
    <row r="138" spans="1:6" x14ac:dyDescent="0.35">
      <c r="B138" t="s">
        <v>272</v>
      </c>
      <c r="C138" t="s">
        <v>498</v>
      </c>
      <c r="D138" t="s">
        <v>254</v>
      </c>
    </row>
    <row r="139" spans="1:6" x14ac:dyDescent="0.35">
      <c r="B139" t="s">
        <v>274</v>
      </c>
      <c r="C139" t="s">
        <v>499</v>
      </c>
      <c r="D139" t="s">
        <v>254</v>
      </c>
    </row>
    <row r="140" spans="1:6" x14ac:dyDescent="0.35">
      <c r="B140" t="s">
        <v>276</v>
      </c>
      <c r="C140" t="s">
        <v>500</v>
      </c>
      <c r="D140" t="s">
        <v>254</v>
      </c>
    </row>
    <row r="141" spans="1:6" x14ac:dyDescent="0.35">
      <c r="B141" t="s">
        <v>278</v>
      </c>
      <c r="C141" t="s">
        <v>501</v>
      </c>
      <c r="D141" t="s">
        <v>254</v>
      </c>
    </row>
    <row r="142" spans="1:6" x14ac:dyDescent="0.35">
      <c r="B142" t="s">
        <v>280</v>
      </c>
      <c r="C142" t="s">
        <v>502</v>
      </c>
      <c r="D142" t="s">
        <v>254</v>
      </c>
    </row>
    <row r="143" spans="1:6" x14ac:dyDescent="0.35">
      <c r="B143" t="s">
        <v>282</v>
      </c>
      <c r="C143" t="s">
        <v>503</v>
      </c>
      <c r="D143" t="s">
        <v>254</v>
      </c>
    </row>
    <row r="144" spans="1:6" x14ac:dyDescent="0.35">
      <c r="B144" t="s">
        <v>284</v>
      </c>
      <c r="C144" t="s">
        <v>504</v>
      </c>
      <c r="D144" t="s">
        <v>254</v>
      </c>
    </row>
    <row r="145" spans="1:6" x14ac:dyDescent="0.35">
      <c r="B145" t="s">
        <v>286</v>
      </c>
      <c r="C145" t="s">
        <v>505</v>
      </c>
      <c r="D145" t="s">
        <v>254</v>
      </c>
    </row>
    <row r="146" spans="1:6" x14ac:dyDescent="0.35">
      <c r="B146" t="s">
        <v>288</v>
      </c>
      <c r="C146" t="s">
        <v>506</v>
      </c>
      <c r="D146" t="s">
        <v>254</v>
      </c>
    </row>
    <row r="147" spans="1:6" x14ac:dyDescent="0.35">
      <c r="A147" s="151" t="s">
        <v>141</v>
      </c>
      <c r="B147" s="151"/>
      <c r="C147" s="151" t="s">
        <v>142</v>
      </c>
      <c r="D147" s="151" t="s">
        <v>250</v>
      </c>
      <c r="E147" s="151" t="s">
        <v>137</v>
      </c>
      <c r="F147" s="151" t="s">
        <v>507</v>
      </c>
    </row>
    <row r="148" spans="1:6" x14ac:dyDescent="0.35">
      <c r="B148" t="s">
        <v>274</v>
      </c>
      <c r="C148" t="s">
        <v>508</v>
      </c>
      <c r="D148" t="s">
        <v>254</v>
      </c>
    </row>
    <row r="149" spans="1:6" x14ac:dyDescent="0.35">
      <c r="B149" t="s">
        <v>276</v>
      </c>
      <c r="C149" t="s">
        <v>509</v>
      </c>
      <c r="D149" t="s">
        <v>254</v>
      </c>
    </row>
    <row r="150" spans="1:6" x14ac:dyDescent="0.35">
      <c r="B150" t="s">
        <v>257</v>
      </c>
      <c r="C150" t="s">
        <v>510</v>
      </c>
      <c r="D150" t="s">
        <v>254</v>
      </c>
    </row>
    <row r="151" spans="1:6" x14ac:dyDescent="0.35">
      <c r="B151" t="s">
        <v>258</v>
      </c>
      <c r="C151" t="s">
        <v>511</v>
      </c>
      <c r="D151" t="s">
        <v>254</v>
      </c>
    </row>
    <row r="152" spans="1:6" x14ac:dyDescent="0.35">
      <c r="B152" t="s">
        <v>259</v>
      </c>
      <c r="C152" t="s">
        <v>512</v>
      </c>
      <c r="D152" t="s">
        <v>254</v>
      </c>
    </row>
    <row r="153" spans="1:6" x14ac:dyDescent="0.35">
      <c r="B153" t="s">
        <v>264</v>
      </c>
      <c r="C153" t="s">
        <v>513</v>
      </c>
      <c r="D153" t="s">
        <v>254</v>
      </c>
    </row>
    <row r="154" spans="1:6" x14ac:dyDescent="0.35">
      <c r="B154" t="s">
        <v>266</v>
      </c>
      <c r="C154" t="s">
        <v>514</v>
      </c>
      <c r="D154" t="s">
        <v>254</v>
      </c>
    </row>
    <row r="155" spans="1:6" x14ac:dyDescent="0.35">
      <c r="B155" t="s">
        <v>268</v>
      </c>
      <c r="C155" t="s">
        <v>515</v>
      </c>
      <c r="D155" t="s">
        <v>254</v>
      </c>
    </row>
    <row r="156" spans="1:6" x14ac:dyDescent="0.35">
      <c r="B156" t="s">
        <v>270</v>
      </c>
      <c r="C156" t="s">
        <v>516</v>
      </c>
      <c r="D156" t="s">
        <v>254</v>
      </c>
    </row>
    <row r="157" spans="1:6" x14ac:dyDescent="0.35">
      <c r="B157" t="s">
        <v>272</v>
      </c>
      <c r="C157" t="s">
        <v>517</v>
      </c>
      <c r="D157" t="s">
        <v>254</v>
      </c>
    </row>
    <row r="158" spans="1:6" x14ac:dyDescent="0.35">
      <c r="B158" t="s">
        <v>454</v>
      </c>
      <c r="C158" t="s">
        <v>518</v>
      </c>
      <c r="D158" t="s">
        <v>254</v>
      </c>
    </row>
    <row r="159" spans="1:6" x14ac:dyDescent="0.35">
      <c r="A159" s="151" t="s">
        <v>143</v>
      </c>
      <c r="B159" s="151"/>
      <c r="C159" s="151" t="s">
        <v>144</v>
      </c>
      <c r="D159" s="151" t="s">
        <v>250</v>
      </c>
      <c r="E159" s="151" t="s">
        <v>129</v>
      </c>
      <c r="F159" s="151" t="s">
        <v>251</v>
      </c>
    </row>
    <row r="160" spans="1:6" x14ac:dyDescent="0.35">
      <c r="B160" t="s">
        <v>257</v>
      </c>
      <c r="C160" t="s">
        <v>519</v>
      </c>
      <c r="D160" t="s">
        <v>254</v>
      </c>
    </row>
    <row r="161" spans="1:6" x14ac:dyDescent="0.35">
      <c r="B161" t="s">
        <v>258</v>
      </c>
      <c r="C161" t="s">
        <v>520</v>
      </c>
      <c r="D161" t="s">
        <v>254</v>
      </c>
    </row>
    <row r="162" spans="1:6" x14ac:dyDescent="0.35">
      <c r="B162" t="s">
        <v>259</v>
      </c>
      <c r="C162" t="s">
        <v>521</v>
      </c>
      <c r="D162" t="s">
        <v>254</v>
      </c>
    </row>
    <row r="163" spans="1:6" x14ac:dyDescent="0.35">
      <c r="B163" t="s">
        <v>264</v>
      </c>
      <c r="C163" t="s">
        <v>522</v>
      </c>
      <c r="D163" t="s">
        <v>254</v>
      </c>
    </row>
    <row r="164" spans="1:6" x14ac:dyDescent="0.35">
      <c r="B164" t="s">
        <v>266</v>
      </c>
      <c r="C164" t="s">
        <v>523</v>
      </c>
      <c r="D164" t="s">
        <v>254</v>
      </c>
    </row>
    <row r="165" spans="1:6" x14ac:dyDescent="0.35">
      <c r="B165" t="s">
        <v>268</v>
      </c>
      <c r="C165" t="s">
        <v>524</v>
      </c>
      <c r="D165" t="s">
        <v>254</v>
      </c>
    </row>
    <row r="166" spans="1:6" x14ac:dyDescent="0.35">
      <c r="A166" s="151" t="s">
        <v>148</v>
      </c>
      <c r="B166" s="151"/>
      <c r="C166" s="151" t="s">
        <v>148</v>
      </c>
      <c r="D166" s="151" t="s">
        <v>250</v>
      </c>
      <c r="E166" s="151" t="s">
        <v>137</v>
      </c>
      <c r="F166" s="151" t="s">
        <v>488</v>
      </c>
    </row>
    <row r="167" spans="1:6" x14ac:dyDescent="0.35">
      <c r="B167" t="s">
        <v>257</v>
      </c>
      <c r="C167" t="s">
        <v>525</v>
      </c>
      <c r="D167" t="s">
        <v>254</v>
      </c>
    </row>
    <row r="168" spans="1:6" x14ac:dyDescent="0.35">
      <c r="B168" t="s">
        <v>258</v>
      </c>
      <c r="C168" t="s">
        <v>526</v>
      </c>
      <c r="D168" t="s">
        <v>254</v>
      </c>
    </row>
    <row r="169" spans="1:6" x14ac:dyDescent="0.35">
      <c r="B169" t="s">
        <v>259</v>
      </c>
      <c r="C169" t="s">
        <v>527</v>
      </c>
      <c r="D169" t="s">
        <v>254</v>
      </c>
    </row>
    <row r="170" spans="1:6" x14ac:dyDescent="0.35">
      <c r="B170" t="s">
        <v>264</v>
      </c>
      <c r="C170" t="s">
        <v>528</v>
      </c>
      <c r="D170" t="s">
        <v>254</v>
      </c>
    </row>
    <row r="171" spans="1:6" x14ac:dyDescent="0.35">
      <c r="B171" t="s">
        <v>266</v>
      </c>
      <c r="C171" t="s">
        <v>529</v>
      </c>
      <c r="D171" t="s">
        <v>254</v>
      </c>
    </row>
    <row r="172" spans="1:6" x14ac:dyDescent="0.35">
      <c r="A172" s="151" t="s">
        <v>151</v>
      </c>
      <c r="B172" s="151"/>
      <c r="C172" s="151" t="s">
        <v>151</v>
      </c>
      <c r="D172" s="151" t="s">
        <v>250</v>
      </c>
      <c r="E172" s="151" t="s">
        <v>137</v>
      </c>
      <c r="F172" s="151" t="s">
        <v>488</v>
      </c>
    </row>
    <row r="173" spans="1:6" x14ac:dyDescent="0.35">
      <c r="B173" t="s">
        <v>257</v>
      </c>
      <c r="C173" t="s">
        <v>530</v>
      </c>
      <c r="D173" t="s">
        <v>254</v>
      </c>
    </row>
    <row r="174" spans="1:6" x14ac:dyDescent="0.35">
      <c r="B174" t="s">
        <v>258</v>
      </c>
      <c r="C174" t="s">
        <v>531</v>
      </c>
      <c r="D174" t="s">
        <v>254</v>
      </c>
    </row>
    <row r="175" spans="1:6" x14ac:dyDescent="0.35">
      <c r="A175" s="151" t="s">
        <v>156</v>
      </c>
      <c r="B175" s="151"/>
      <c r="C175" s="151" t="s">
        <v>156</v>
      </c>
      <c r="D175" s="151" t="s">
        <v>250</v>
      </c>
      <c r="E175" s="151" t="s">
        <v>129</v>
      </c>
      <c r="F175" s="151" t="s">
        <v>251</v>
      </c>
    </row>
    <row r="176" spans="1:6" x14ac:dyDescent="0.35">
      <c r="B176" t="s">
        <v>454</v>
      </c>
      <c r="C176" t="s">
        <v>532</v>
      </c>
      <c r="D176" t="s">
        <v>254</v>
      </c>
    </row>
    <row r="177" spans="1:6" x14ac:dyDescent="0.35">
      <c r="A177" s="151" t="s">
        <v>157</v>
      </c>
      <c r="B177" s="151"/>
      <c r="C177" s="151" t="s">
        <v>158</v>
      </c>
      <c r="D177" s="151" t="s">
        <v>250</v>
      </c>
      <c r="E177" s="151" t="s">
        <v>137</v>
      </c>
      <c r="F177" s="151" t="s">
        <v>507</v>
      </c>
    </row>
    <row r="178" spans="1:6" x14ac:dyDescent="0.35">
      <c r="B178" t="s">
        <v>270</v>
      </c>
      <c r="C178" t="s">
        <v>533</v>
      </c>
      <c r="D178" t="s">
        <v>254</v>
      </c>
    </row>
    <row r="179" spans="1:6" x14ac:dyDescent="0.35">
      <c r="B179" t="s">
        <v>272</v>
      </c>
      <c r="C179" t="s">
        <v>534</v>
      </c>
      <c r="D179" t="s">
        <v>254</v>
      </c>
    </row>
    <row r="180" spans="1:6" x14ac:dyDescent="0.35">
      <c r="B180" t="s">
        <v>257</v>
      </c>
      <c r="C180" t="s">
        <v>535</v>
      </c>
      <c r="D180" t="s">
        <v>254</v>
      </c>
    </row>
    <row r="181" spans="1:6" x14ac:dyDescent="0.35">
      <c r="B181" t="s">
        <v>258</v>
      </c>
      <c r="C181" t="s">
        <v>536</v>
      </c>
      <c r="D181" t="s">
        <v>254</v>
      </c>
    </row>
    <row r="182" spans="1:6" x14ac:dyDescent="0.35">
      <c r="B182" t="s">
        <v>259</v>
      </c>
      <c r="C182" t="s">
        <v>537</v>
      </c>
      <c r="D182" t="s">
        <v>254</v>
      </c>
    </row>
    <row r="183" spans="1:6" x14ac:dyDescent="0.35">
      <c r="B183" t="s">
        <v>264</v>
      </c>
      <c r="C183" t="s">
        <v>538</v>
      </c>
      <c r="D183" t="s">
        <v>254</v>
      </c>
    </row>
    <row r="184" spans="1:6" x14ac:dyDescent="0.35">
      <c r="B184" t="s">
        <v>266</v>
      </c>
      <c r="C184" t="s">
        <v>539</v>
      </c>
      <c r="D184" t="s">
        <v>254</v>
      </c>
    </row>
    <row r="185" spans="1:6" x14ac:dyDescent="0.35">
      <c r="B185" t="s">
        <v>268</v>
      </c>
      <c r="C185" t="s">
        <v>540</v>
      </c>
      <c r="D185" t="s">
        <v>254</v>
      </c>
    </row>
    <row r="186" spans="1:6" x14ac:dyDescent="0.35">
      <c r="B186" t="s">
        <v>274</v>
      </c>
      <c r="C186" t="s">
        <v>541</v>
      </c>
      <c r="D186" t="s">
        <v>254</v>
      </c>
    </row>
    <row r="187" spans="1:6" x14ac:dyDescent="0.35">
      <c r="B187" t="s">
        <v>276</v>
      </c>
      <c r="C187" t="s">
        <v>542</v>
      </c>
      <c r="D187" t="s">
        <v>254</v>
      </c>
    </row>
    <row r="188" spans="1:6" x14ac:dyDescent="0.35">
      <c r="B188" t="s">
        <v>278</v>
      </c>
      <c r="C188" t="s">
        <v>543</v>
      </c>
      <c r="D188" t="s">
        <v>254</v>
      </c>
    </row>
    <row r="189" spans="1:6" x14ac:dyDescent="0.35">
      <c r="B189" t="s">
        <v>280</v>
      </c>
      <c r="C189" t="s">
        <v>544</v>
      </c>
      <c r="D189" t="s">
        <v>254</v>
      </c>
    </row>
    <row r="190" spans="1:6" x14ac:dyDescent="0.35">
      <c r="B190" t="s">
        <v>282</v>
      </c>
      <c r="C190" t="s">
        <v>545</v>
      </c>
      <c r="D190" t="s">
        <v>254</v>
      </c>
    </row>
    <row r="191" spans="1:6" x14ac:dyDescent="0.35">
      <c r="B191" t="s">
        <v>452</v>
      </c>
      <c r="C191" t="s">
        <v>260</v>
      </c>
      <c r="D191" t="s">
        <v>254</v>
      </c>
    </row>
    <row r="192" spans="1:6" x14ac:dyDescent="0.35">
      <c r="B192" t="s">
        <v>454</v>
      </c>
      <c r="C192" t="s">
        <v>546</v>
      </c>
      <c r="D192" t="s">
        <v>254</v>
      </c>
    </row>
    <row r="193" spans="1:6" x14ac:dyDescent="0.35">
      <c r="A193" s="151" t="s">
        <v>159</v>
      </c>
      <c r="B193" s="151"/>
      <c r="C193" s="151" t="s">
        <v>160</v>
      </c>
      <c r="D193" s="151" t="s">
        <v>250</v>
      </c>
      <c r="E193" s="151" t="s">
        <v>129</v>
      </c>
      <c r="F193" s="151" t="s">
        <v>251</v>
      </c>
    </row>
    <row r="194" spans="1:6" x14ac:dyDescent="0.35">
      <c r="B194" t="s">
        <v>257</v>
      </c>
      <c r="C194" t="s">
        <v>547</v>
      </c>
      <c r="D194" t="s">
        <v>254</v>
      </c>
    </row>
    <row r="195" spans="1:6" x14ac:dyDescent="0.35">
      <c r="B195" t="s">
        <v>258</v>
      </c>
      <c r="C195" t="s">
        <v>548</v>
      </c>
      <c r="D195" t="s">
        <v>254</v>
      </c>
    </row>
    <row r="196" spans="1:6" x14ac:dyDescent="0.35">
      <c r="B196" t="s">
        <v>259</v>
      </c>
      <c r="C196" t="s">
        <v>549</v>
      </c>
      <c r="D196" t="s">
        <v>254</v>
      </c>
    </row>
    <row r="197" spans="1:6" x14ac:dyDescent="0.35">
      <c r="B197" t="s">
        <v>264</v>
      </c>
      <c r="C197" t="s">
        <v>550</v>
      </c>
      <c r="D197" t="s">
        <v>254</v>
      </c>
    </row>
    <row r="198" spans="1:6" x14ac:dyDescent="0.35">
      <c r="B198" t="s">
        <v>266</v>
      </c>
      <c r="C198" t="s">
        <v>551</v>
      </c>
      <c r="D198" t="s">
        <v>254</v>
      </c>
    </row>
    <row r="199" spans="1:6" x14ac:dyDescent="0.35">
      <c r="B199" t="s">
        <v>268</v>
      </c>
      <c r="C199" t="s">
        <v>552</v>
      </c>
      <c r="D199" t="s">
        <v>254</v>
      </c>
    </row>
    <row r="200" spans="1:6" x14ac:dyDescent="0.35">
      <c r="B200" t="s">
        <v>270</v>
      </c>
      <c r="C200" t="s">
        <v>553</v>
      </c>
      <c r="D200" t="s">
        <v>254</v>
      </c>
    </row>
    <row r="201" spans="1:6" x14ac:dyDescent="0.35">
      <c r="A201" s="151" t="s">
        <v>161</v>
      </c>
      <c r="B201" s="151"/>
      <c r="C201" s="151" t="s">
        <v>161</v>
      </c>
      <c r="D201" s="151" t="s">
        <v>250</v>
      </c>
      <c r="E201" s="151" t="s">
        <v>137</v>
      </c>
      <c r="F201" s="151" t="s">
        <v>507</v>
      </c>
    </row>
    <row r="202" spans="1:6" x14ac:dyDescent="0.35">
      <c r="B202" t="s">
        <v>257</v>
      </c>
      <c r="C202" t="s">
        <v>554</v>
      </c>
      <c r="D202" t="s">
        <v>254</v>
      </c>
    </row>
    <row r="203" spans="1:6" x14ac:dyDescent="0.35">
      <c r="B203" t="s">
        <v>258</v>
      </c>
      <c r="C203" t="s">
        <v>555</v>
      </c>
      <c r="D203" t="s">
        <v>254</v>
      </c>
    </row>
    <row r="204" spans="1:6" x14ac:dyDescent="0.35">
      <c r="B204" t="s">
        <v>259</v>
      </c>
      <c r="C204" t="s">
        <v>556</v>
      </c>
      <c r="D204" t="s">
        <v>254</v>
      </c>
    </row>
    <row r="205" spans="1:6" x14ac:dyDescent="0.35">
      <c r="B205" t="s">
        <v>264</v>
      </c>
      <c r="C205" t="s">
        <v>557</v>
      </c>
      <c r="D205" t="s">
        <v>254</v>
      </c>
    </row>
    <row r="206" spans="1:6" x14ac:dyDescent="0.35">
      <c r="B206" t="s">
        <v>266</v>
      </c>
      <c r="C206" t="s">
        <v>558</v>
      </c>
      <c r="D206" t="s">
        <v>254</v>
      </c>
    </row>
    <row r="207" spans="1:6" x14ac:dyDescent="0.35">
      <c r="B207" t="s">
        <v>268</v>
      </c>
      <c r="C207" t="s">
        <v>559</v>
      </c>
      <c r="D207" t="s">
        <v>254</v>
      </c>
    </row>
    <row r="208" spans="1:6" x14ac:dyDescent="0.35">
      <c r="B208" t="s">
        <v>270</v>
      </c>
      <c r="C208" t="s">
        <v>560</v>
      </c>
      <c r="D208" t="s">
        <v>254</v>
      </c>
    </row>
    <row r="209" spans="1:6" x14ac:dyDescent="0.35">
      <c r="A209" s="151" t="s">
        <v>164</v>
      </c>
      <c r="B209" s="151"/>
      <c r="C209" s="151" t="s">
        <v>164</v>
      </c>
      <c r="D209" s="151" t="s">
        <v>250</v>
      </c>
      <c r="E209" s="151" t="s">
        <v>137</v>
      </c>
      <c r="F209" s="151" t="s">
        <v>488</v>
      </c>
    </row>
    <row r="210" spans="1:6" x14ac:dyDescent="0.35">
      <c r="B210" t="s">
        <v>257</v>
      </c>
      <c r="C210" t="s">
        <v>561</v>
      </c>
      <c r="D210" t="s">
        <v>254</v>
      </c>
    </row>
    <row r="211" spans="1:6" x14ac:dyDescent="0.35">
      <c r="B211" t="s">
        <v>258</v>
      </c>
      <c r="C211" t="s">
        <v>562</v>
      </c>
      <c r="D211" t="s">
        <v>254</v>
      </c>
    </row>
    <row r="212" spans="1:6" x14ac:dyDescent="0.35">
      <c r="B212" t="s">
        <v>259</v>
      </c>
      <c r="C212" t="s">
        <v>563</v>
      </c>
      <c r="D212" t="s">
        <v>254</v>
      </c>
    </row>
    <row r="213" spans="1:6" x14ac:dyDescent="0.35">
      <c r="B213" t="s">
        <v>264</v>
      </c>
      <c r="C213" t="s">
        <v>564</v>
      </c>
      <c r="D213" t="s">
        <v>254</v>
      </c>
    </row>
    <row r="214" spans="1:6" x14ac:dyDescent="0.35">
      <c r="B214" t="s">
        <v>266</v>
      </c>
      <c r="C214" t="s">
        <v>565</v>
      </c>
      <c r="D214" t="s">
        <v>254</v>
      </c>
    </row>
    <row r="215" spans="1:6" x14ac:dyDescent="0.35">
      <c r="A215" s="151" t="s">
        <v>165</v>
      </c>
      <c r="B215" s="151"/>
      <c r="C215" s="151" t="s">
        <v>165</v>
      </c>
      <c r="D215" s="151" t="s">
        <v>250</v>
      </c>
      <c r="E215" s="151" t="s">
        <v>137</v>
      </c>
      <c r="F215" s="151" t="s">
        <v>488</v>
      </c>
    </row>
    <row r="216" spans="1:6" x14ac:dyDescent="0.35">
      <c r="B216" t="s">
        <v>257</v>
      </c>
      <c r="C216" t="s">
        <v>561</v>
      </c>
      <c r="D216" t="s">
        <v>254</v>
      </c>
    </row>
    <row r="217" spans="1:6" x14ac:dyDescent="0.35">
      <c r="B217" t="s">
        <v>258</v>
      </c>
      <c r="C217" t="s">
        <v>562</v>
      </c>
      <c r="D217" t="s">
        <v>254</v>
      </c>
    </row>
    <row r="218" spans="1:6" x14ac:dyDescent="0.35">
      <c r="B218" t="s">
        <v>259</v>
      </c>
      <c r="C218" t="s">
        <v>563</v>
      </c>
      <c r="D218" t="s">
        <v>254</v>
      </c>
    </row>
    <row r="219" spans="1:6" x14ac:dyDescent="0.35">
      <c r="B219" t="s">
        <v>264</v>
      </c>
      <c r="C219" t="s">
        <v>564</v>
      </c>
      <c r="D219" t="s">
        <v>254</v>
      </c>
    </row>
    <row r="220" spans="1:6" x14ac:dyDescent="0.35">
      <c r="B220" t="s">
        <v>266</v>
      </c>
      <c r="C220" t="s">
        <v>565</v>
      </c>
      <c r="D220" t="s">
        <v>254</v>
      </c>
    </row>
    <row r="221" spans="1:6" x14ac:dyDescent="0.35">
      <c r="A221" s="151" t="s">
        <v>166</v>
      </c>
      <c r="B221" s="151"/>
      <c r="C221" s="151" t="s">
        <v>166</v>
      </c>
      <c r="D221" s="151" t="s">
        <v>250</v>
      </c>
      <c r="E221" s="151" t="s">
        <v>137</v>
      </c>
      <c r="F221" s="151" t="s">
        <v>488</v>
      </c>
    </row>
    <row r="222" spans="1:6" x14ac:dyDescent="0.35">
      <c r="B222" t="s">
        <v>257</v>
      </c>
      <c r="C222" t="s">
        <v>566</v>
      </c>
      <c r="D222" t="s">
        <v>254</v>
      </c>
    </row>
    <row r="223" spans="1:6" x14ac:dyDescent="0.35">
      <c r="B223" t="s">
        <v>258</v>
      </c>
      <c r="C223" t="s">
        <v>567</v>
      </c>
      <c r="D223" t="s">
        <v>254</v>
      </c>
    </row>
    <row r="224" spans="1:6" x14ac:dyDescent="0.35">
      <c r="A224" s="151" t="s">
        <v>169</v>
      </c>
      <c r="B224" s="151"/>
      <c r="C224" s="151" t="s">
        <v>169</v>
      </c>
      <c r="D224" s="151" t="s">
        <v>250</v>
      </c>
      <c r="E224" s="151" t="s">
        <v>137</v>
      </c>
      <c r="F224" s="151" t="s">
        <v>488</v>
      </c>
    </row>
    <row r="225" spans="1:6" x14ac:dyDescent="0.35">
      <c r="B225" t="s">
        <v>257</v>
      </c>
      <c r="C225" t="s">
        <v>525</v>
      </c>
      <c r="D225" t="s">
        <v>254</v>
      </c>
    </row>
    <row r="226" spans="1:6" x14ac:dyDescent="0.35">
      <c r="B226" t="s">
        <v>258</v>
      </c>
      <c r="C226" t="s">
        <v>526</v>
      </c>
      <c r="D226" t="s">
        <v>254</v>
      </c>
    </row>
    <row r="227" spans="1:6" x14ac:dyDescent="0.35">
      <c r="B227" t="s">
        <v>259</v>
      </c>
      <c r="C227" t="s">
        <v>527</v>
      </c>
      <c r="D227" t="s">
        <v>254</v>
      </c>
    </row>
    <row r="228" spans="1:6" x14ac:dyDescent="0.35">
      <c r="B228" t="s">
        <v>264</v>
      </c>
      <c r="C228" t="s">
        <v>528</v>
      </c>
      <c r="D228" t="s">
        <v>254</v>
      </c>
    </row>
    <row r="229" spans="1:6" x14ac:dyDescent="0.35">
      <c r="B229" t="s">
        <v>266</v>
      </c>
      <c r="C229" t="s">
        <v>529</v>
      </c>
      <c r="D229" t="s">
        <v>254</v>
      </c>
    </row>
    <row r="230" spans="1:6" x14ac:dyDescent="0.35">
      <c r="A230" s="151" t="s">
        <v>175</v>
      </c>
      <c r="B230" s="151"/>
      <c r="C230" s="151" t="s">
        <v>175</v>
      </c>
      <c r="D230" s="151" t="s">
        <v>250</v>
      </c>
      <c r="E230" s="151" t="s">
        <v>137</v>
      </c>
      <c r="F230" s="151" t="s">
        <v>488</v>
      </c>
    </row>
    <row r="231" spans="1:6" x14ac:dyDescent="0.35">
      <c r="B231" t="s">
        <v>257</v>
      </c>
      <c r="C231" t="s">
        <v>568</v>
      </c>
      <c r="D231" t="s">
        <v>254</v>
      </c>
    </row>
    <row r="232" spans="1:6" x14ac:dyDescent="0.35">
      <c r="B232" t="s">
        <v>258</v>
      </c>
      <c r="C232" t="s">
        <v>569</v>
      </c>
      <c r="D232" t="s">
        <v>254</v>
      </c>
    </row>
    <row r="233" spans="1:6" x14ac:dyDescent="0.35">
      <c r="A233" s="151" t="s">
        <v>195</v>
      </c>
      <c r="B233" s="151"/>
      <c r="C233" s="151" t="s">
        <v>196</v>
      </c>
      <c r="D233" s="151" t="s">
        <v>84</v>
      </c>
      <c r="E233" s="151" t="s">
        <v>84</v>
      </c>
      <c r="F233" s="151"/>
    </row>
    <row r="234" spans="1:6" x14ac:dyDescent="0.35">
      <c r="A234" s="151" t="s">
        <v>197</v>
      </c>
      <c r="B234" s="151"/>
      <c r="C234" s="151" t="s">
        <v>198</v>
      </c>
      <c r="D234" s="151" t="s">
        <v>250</v>
      </c>
      <c r="E234" s="151" t="s">
        <v>137</v>
      </c>
      <c r="F234" s="151" t="s">
        <v>507</v>
      </c>
    </row>
    <row r="235" spans="1:6" x14ac:dyDescent="0.35">
      <c r="B235" s="148" t="str">
        <f>HYPERLINK("#'Shared Response Lists'!A2", "List_MONETIZATION")</f>
        <v>List_MONETIZATION</v>
      </c>
      <c r="C235" t="s">
        <v>570</v>
      </c>
      <c r="D235" t="s">
        <v>254</v>
      </c>
    </row>
    <row r="236" spans="1:6" x14ac:dyDescent="0.35">
      <c r="B236" t="s">
        <v>452</v>
      </c>
      <c r="C236" t="s">
        <v>571</v>
      </c>
      <c r="D236" t="s">
        <v>254</v>
      </c>
    </row>
    <row r="237" spans="1:6" x14ac:dyDescent="0.35">
      <c r="B237" t="s">
        <v>454</v>
      </c>
      <c r="C237" t="s">
        <v>572</v>
      </c>
      <c r="D237" t="s">
        <v>254</v>
      </c>
    </row>
    <row r="238" spans="1:6" x14ac:dyDescent="0.35">
      <c r="A238" s="151" t="s">
        <v>201</v>
      </c>
      <c r="B238" s="151"/>
      <c r="C238" s="151" t="s">
        <v>202</v>
      </c>
      <c r="D238" s="151" t="s">
        <v>250</v>
      </c>
      <c r="E238" s="151" t="s">
        <v>137</v>
      </c>
      <c r="F238" s="151" t="s">
        <v>507</v>
      </c>
    </row>
    <row r="239" spans="1:6" x14ac:dyDescent="0.35">
      <c r="B239" s="148" t="str">
        <f>HYPERLINK("#'Shared Response Lists'!A52", "List_platforms_new")</f>
        <v>List_platforms_new</v>
      </c>
      <c r="C239" t="s">
        <v>570</v>
      </c>
      <c r="D239" t="s">
        <v>254</v>
      </c>
    </row>
    <row r="240" spans="1:6" x14ac:dyDescent="0.35">
      <c r="B240" t="s">
        <v>454</v>
      </c>
      <c r="C240" t="s">
        <v>546</v>
      </c>
      <c r="D240" t="s">
        <v>254</v>
      </c>
    </row>
    <row r="241" spans="1:6" x14ac:dyDescent="0.35">
      <c r="A241" s="151" t="s">
        <v>203</v>
      </c>
      <c r="B241" s="151"/>
      <c r="C241" s="151" t="s">
        <v>204</v>
      </c>
      <c r="D241" s="151" t="s">
        <v>250</v>
      </c>
      <c r="E241" s="151" t="s">
        <v>137</v>
      </c>
      <c r="F241" s="151" t="s">
        <v>488</v>
      </c>
    </row>
    <row r="242" spans="1:6" x14ac:dyDescent="0.35">
      <c r="B242" s="148" t="str">
        <f>HYPERLINK("#'Shared Response Lists'!A52", "List_platforms_new")</f>
        <v>List_platforms_new</v>
      </c>
      <c r="C242" t="s">
        <v>570</v>
      </c>
      <c r="D242" t="s">
        <v>254</v>
      </c>
    </row>
    <row r="243" spans="1:6" x14ac:dyDescent="0.35">
      <c r="A243" s="151" t="s">
        <v>205</v>
      </c>
      <c r="B243" s="151"/>
      <c r="C243" s="151" t="s">
        <v>204</v>
      </c>
      <c r="D243" s="151" t="s">
        <v>250</v>
      </c>
      <c r="E243" s="151" t="s">
        <v>137</v>
      </c>
      <c r="F243" s="151" t="s">
        <v>488</v>
      </c>
    </row>
    <row r="244" spans="1:6" x14ac:dyDescent="0.35">
      <c r="B244" s="148" t="str">
        <f>HYPERLINK("#'Shared Response Lists'!A52", "List_platforms_new")</f>
        <v>List_platforms_new</v>
      </c>
      <c r="C244" t="s">
        <v>570</v>
      </c>
      <c r="D244" t="s">
        <v>254</v>
      </c>
    </row>
    <row r="245" spans="1:6" x14ac:dyDescent="0.35">
      <c r="A245" s="151" t="s">
        <v>206</v>
      </c>
      <c r="B245" s="151"/>
      <c r="C245" s="151" t="s">
        <v>207</v>
      </c>
      <c r="D245" s="151" t="s">
        <v>250</v>
      </c>
      <c r="E245" s="151" t="s">
        <v>137</v>
      </c>
      <c r="F245" s="151" t="s">
        <v>488</v>
      </c>
    </row>
    <row r="246" spans="1:6" x14ac:dyDescent="0.35">
      <c r="B246" t="s">
        <v>257</v>
      </c>
      <c r="C246" t="s">
        <v>573</v>
      </c>
      <c r="D246" t="s">
        <v>254</v>
      </c>
    </row>
    <row r="247" spans="1:6" x14ac:dyDescent="0.35">
      <c r="B247" t="s">
        <v>258</v>
      </c>
      <c r="C247" t="s">
        <v>573</v>
      </c>
      <c r="D247" t="s">
        <v>254</v>
      </c>
    </row>
    <row r="248" spans="1:6" x14ac:dyDescent="0.35">
      <c r="A248" s="151" t="s">
        <v>208</v>
      </c>
      <c r="B248" s="151"/>
      <c r="C248" s="151" t="s">
        <v>209</v>
      </c>
      <c r="D248" s="151" t="s">
        <v>250</v>
      </c>
      <c r="E248" s="151" t="s">
        <v>137</v>
      </c>
      <c r="F248" s="151" t="s">
        <v>488</v>
      </c>
    </row>
    <row r="249" spans="1:6" x14ac:dyDescent="0.35">
      <c r="B249" t="s">
        <v>257</v>
      </c>
      <c r="C249" t="s">
        <v>574</v>
      </c>
      <c r="D249" t="s">
        <v>254</v>
      </c>
    </row>
    <row r="250" spans="1:6" x14ac:dyDescent="0.35">
      <c r="B250" t="s">
        <v>258</v>
      </c>
      <c r="C250" t="s">
        <v>575</v>
      </c>
      <c r="D250" t="s">
        <v>254</v>
      </c>
    </row>
    <row r="251" spans="1:6" x14ac:dyDescent="0.35">
      <c r="A251" s="151" t="s">
        <v>210</v>
      </c>
      <c r="B251" s="151"/>
      <c r="C251" s="151" t="s">
        <v>211</v>
      </c>
      <c r="D251" s="151" t="s">
        <v>250</v>
      </c>
      <c r="E251" s="151" t="s">
        <v>129</v>
      </c>
      <c r="F251" s="151" t="s">
        <v>251</v>
      </c>
    </row>
    <row r="252" spans="1:6" x14ac:dyDescent="0.35">
      <c r="B252" t="s">
        <v>576</v>
      </c>
      <c r="C252" t="s">
        <v>577</v>
      </c>
      <c r="D252" t="s">
        <v>254</v>
      </c>
    </row>
    <row r="253" spans="1:6" x14ac:dyDescent="0.35">
      <c r="B253" t="s">
        <v>578</v>
      </c>
      <c r="C253" t="s">
        <v>579</v>
      </c>
      <c r="D253" t="s">
        <v>254</v>
      </c>
    </row>
    <row r="254" spans="1:6" x14ac:dyDescent="0.35">
      <c r="B254" t="s">
        <v>580</v>
      </c>
      <c r="C254" t="s">
        <v>581</v>
      </c>
      <c r="D254" t="s">
        <v>254</v>
      </c>
    </row>
    <row r="255" spans="1:6" x14ac:dyDescent="0.35">
      <c r="B255" t="s">
        <v>582</v>
      </c>
      <c r="C255" t="s">
        <v>583</v>
      </c>
      <c r="D255" t="s">
        <v>254</v>
      </c>
    </row>
    <row r="256" spans="1:6" x14ac:dyDescent="0.35">
      <c r="B256" t="s">
        <v>584</v>
      </c>
      <c r="C256" t="s">
        <v>585</v>
      </c>
      <c r="D256" t="s">
        <v>254</v>
      </c>
    </row>
    <row r="257" spans="2:4" x14ac:dyDescent="0.35">
      <c r="B257" t="s">
        <v>586</v>
      </c>
      <c r="C257"/>
      <c r="D257" t="s">
        <v>254</v>
      </c>
    </row>
    <row r="258" spans="2:4" x14ac:dyDescent="0.35">
      <c r="B258" t="s">
        <v>587</v>
      </c>
      <c r="C258" t="s">
        <v>588</v>
      </c>
      <c r="D258" t="s">
        <v>254</v>
      </c>
    </row>
    <row r="259" spans="2:4" x14ac:dyDescent="0.35">
      <c r="B259" t="s">
        <v>589</v>
      </c>
      <c r="C259"/>
      <c r="D259" t="s">
        <v>254</v>
      </c>
    </row>
    <row r="260" spans="2:4" x14ac:dyDescent="0.35">
      <c r="B260" t="s">
        <v>590</v>
      </c>
      <c r="C260" t="s">
        <v>591</v>
      </c>
      <c r="D260" t="s">
        <v>254</v>
      </c>
    </row>
    <row r="261" spans="2:4" x14ac:dyDescent="0.35">
      <c r="B261" t="s">
        <v>592</v>
      </c>
      <c r="C261"/>
      <c r="D261" t="s">
        <v>254</v>
      </c>
    </row>
    <row r="262" spans="2:4" x14ac:dyDescent="0.35">
      <c r="B262" t="s">
        <v>593</v>
      </c>
      <c r="C262" t="s">
        <v>594</v>
      </c>
      <c r="D262" t="s">
        <v>254</v>
      </c>
    </row>
    <row r="263" spans="2:4" x14ac:dyDescent="0.35">
      <c r="B263" t="s">
        <v>595</v>
      </c>
      <c r="C263" t="s">
        <v>596</v>
      </c>
      <c r="D263" t="s">
        <v>254</v>
      </c>
    </row>
    <row r="264" spans="2:4" x14ac:dyDescent="0.35">
      <c r="B264" t="s">
        <v>597</v>
      </c>
      <c r="C264" t="s">
        <v>579</v>
      </c>
      <c r="D264" t="s">
        <v>254</v>
      </c>
    </row>
    <row r="265" spans="2:4" x14ac:dyDescent="0.35">
      <c r="B265" t="s">
        <v>598</v>
      </c>
      <c r="C265" t="s">
        <v>599</v>
      </c>
      <c r="D265" t="s">
        <v>254</v>
      </c>
    </row>
    <row r="266" spans="2:4" x14ac:dyDescent="0.35">
      <c r="B266" t="s">
        <v>600</v>
      </c>
      <c r="C266" t="s">
        <v>601</v>
      </c>
      <c r="D266" t="s">
        <v>254</v>
      </c>
    </row>
    <row r="267" spans="2:4" x14ac:dyDescent="0.35">
      <c r="B267" t="s">
        <v>602</v>
      </c>
      <c r="C267" t="s">
        <v>603</v>
      </c>
      <c r="D267" t="s">
        <v>254</v>
      </c>
    </row>
    <row r="268" spans="2:4" x14ac:dyDescent="0.35">
      <c r="B268" t="s">
        <v>604</v>
      </c>
      <c r="C268" t="s">
        <v>605</v>
      </c>
      <c r="D268" t="s">
        <v>254</v>
      </c>
    </row>
    <row r="269" spans="2:4" x14ac:dyDescent="0.35">
      <c r="B269" t="s">
        <v>606</v>
      </c>
      <c r="C269" t="s">
        <v>607</v>
      </c>
      <c r="D269" t="s">
        <v>254</v>
      </c>
    </row>
    <row r="270" spans="2:4" x14ac:dyDescent="0.35">
      <c r="B270" t="s">
        <v>608</v>
      </c>
      <c r="C270" t="s">
        <v>609</v>
      </c>
      <c r="D270" t="s">
        <v>254</v>
      </c>
    </row>
    <row r="271" spans="2:4" x14ac:dyDescent="0.35">
      <c r="B271" t="s">
        <v>610</v>
      </c>
      <c r="C271" t="s">
        <v>591</v>
      </c>
      <c r="D271" t="s">
        <v>254</v>
      </c>
    </row>
    <row r="272" spans="2:4" x14ac:dyDescent="0.35">
      <c r="B272" t="s">
        <v>611</v>
      </c>
      <c r="C272" t="s">
        <v>612</v>
      </c>
      <c r="D272" t="s">
        <v>254</v>
      </c>
    </row>
    <row r="273" spans="2:4" x14ac:dyDescent="0.35">
      <c r="B273" t="s">
        <v>613</v>
      </c>
      <c r="C273" t="s">
        <v>614</v>
      </c>
      <c r="D273" t="s">
        <v>254</v>
      </c>
    </row>
    <row r="274" spans="2:4" x14ac:dyDescent="0.35">
      <c r="B274" t="s">
        <v>615</v>
      </c>
      <c r="C274" t="s">
        <v>616</v>
      </c>
      <c r="D274" t="s">
        <v>254</v>
      </c>
    </row>
    <row r="275" spans="2:4" x14ac:dyDescent="0.35">
      <c r="B275" t="s">
        <v>617</v>
      </c>
      <c r="C275"/>
      <c r="D275" t="s">
        <v>254</v>
      </c>
    </row>
    <row r="276" spans="2:4" x14ac:dyDescent="0.35">
      <c r="B276" t="s">
        <v>618</v>
      </c>
      <c r="C276" t="s">
        <v>619</v>
      </c>
      <c r="D276" t="s">
        <v>254</v>
      </c>
    </row>
    <row r="277" spans="2:4" x14ac:dyDescent="0.35">
      <c r="B277" t="s">
        <v>620</v>
      </c>
      <c r="C277"/>
      <c r="D277" t="s">
        <v>254</v>
      </c>
    </row>
    <row r="278" spans="2:4" x14ac:dyDescent="0.35">
      <c r="B278" t="s">
        <v>621</v>
      </c>
      <c r="C278" t="s">
        <v>622</v>
      </c>
      <c r="D278" t="s">
        <v>254</v>
      </c>
    </row>
    <row r="279" spans="2:4" x14ac:dyDescent="0.35">
      <c r="B279" t="s">
        <v>623</v>
      </c>
      <c r="C279" t="s">
        <v>624</v>
      </c>
      <c r="D279" t="s">
        <v>254</v>
      </c>
    </row>
    <row r="280" spans="2:4" x14ac:dyDescent="0.35">
      <c r="B280" t="s">
        <v>625</v>
      </c>
      <c r="C280" t="s">
        <v>626</v>
      </c>
      <c r="D280" t="s">
        <v>254</v>
      </c>
    </row>
    <row r="281" spans="2:4" x14ac:dyDescent="0.35">
      <c r="B281" t="s">
        <v>627</v>
      </c>
      <c r="C281" t="s">
        <v>628</v>
      </c>
      <c r="D281" t="s">
        <v>254</v>
      </c>
    </row>
    <row r="282" spans="2:4" x14ac:dyDescent="0.35">
      <c r="B282" t="s">
        <v>629</v>
      </c>
      <c r="C282" t="s">
        <v>591</v>
      </c>
      <c r="D282" t="s">
        <v>254</v>
      </c>
    </row>
    <row r="283" spans="2:4" x14ac:dyDescent="0.35">
      <c r="B283" t="s">
        <v>630</v>
      </c>
      <c r="C283" t="s">
        <v>612</v>
      </c>
      <c r="D283" t="s">
        <v>254</v>
      </c>
    </row>
    <row r="284" spans="2:4" x14ac:dyDescent="0.35">
      <c r="B284" t="s">
        <v>631</v>
      </c>
      <c r="C284" t="s">
        <v>614</v>
      </c>
      <c r="D284" t="s">
        <v>254</v>
      </c>
    </row>
    <row r="285" spans="2:4" x14ac:dyDescent="0.35">
      <c r="B285" t="s">
        <v>632</v>
      </c>
      <c r="C285" t="s">
        <v>633</v>
      </c>
      <c r="D285" t="s">
        <v>254</v>
      </c>
    </row>
    <row r="286" spans="2:4" x14ac:dyDescent="0.35">
      <c r="B286" t="s">
        <v>634</v>
      </c>
      <c r="C286" t="s">
        <v>635</v>
      </c>
      <c r="D286" t="s">
        <v>254</v>
      </c>
    </row>
    <row r="287" spans="2:4" x14ac:dyDescent="0.35">
      <c r="B287" t="s">
        <v>636</v>
      </c>
      <c r="C287" t="s">
        <v>637</v>
      </c>
      <c r="D287" t="s">
        <v>254</v>
      </c>
    </row>
    <row r="288" spans="2:4" x14ac:dyDescent="0.35">
      <c r="B288" t="s">
        <v>638</v>
      </c>
      <c r="C288" t="s">
        <v>639</v>
      </c>
      <c r="D288" t="s">
        <v>254</v>
      </c>
    </row>
    <row r="289" spans="2:4" x14ac:dyDescent="0.35">
      <c r="B289" t="s">
        <v>640</v>
      </c>
      <c r="C289" t="s">
        <v>641</v>
      </c>
      <c r="D289" t="s">
        <v>254</v>
      </c>
    </row>
    <row r="290" spans="2:4" x14ac:dyDescent="0.35">
      <c r="B290" t="s">
        <v>642</v>
      </c>
      <c r="C290" t="s">
        <v>624</v>
      </c>
      <c r="D290" t="s">
        <v>254</v>
      </c>
    </row>
    <row r="291" spans="2:4" x14ac:dyDescent="0.35">
      <c r="B291" t="s">
        <v>643</v>
      </c>
      <c r="C291" t="s">
        <v>644</v>
      </c>
      <c r="D291" t="s">
        <v>254</v>
      </c>
    </row>
    <row r="292" spans="2:4" x14ac:dyDescent="0.35">
      <c r="B292" t="s">
        <v>645</v>
      </c>
      <c r="C292" t="s">
        <v>646</v>
      </c>
      <c r="D292" t="s">
        <v>254</v>
      </c>
    </row>
    <row r="293" spans="2:4" x14ac:dyDescent="0.35">
      <c r="B293" t="s">
        <v>647</v>
      </c>
      <c r="C293" t="s">
        <v>591</v>
      </c>
      <c r="D293" t="s">
        <v>254</v>
      </c>
    </row>
    <row r="294" spans="2:4" x14ac:dyDescent="0.35">
      <c r="B294" t="s">
        <v>648</v>
      </c>
      <c r="C294" t="s">
        <v>612</v>
      </c>
      <c r="D294" t="s">
        <v>254</v>
      </c>
    </row>
    <row r="295" spans="2:4" x14ac:dyDescent="0.35">
      <c r="B295" t="s">
        <v>649</v>
      </c>
      <c r="C295" t="s">
        <v>614</v>
      </c>
      <c r="D295" t="s">
        <v>254</v>
      </c>
    </row>
    <row r="296" spans="2:4" x14ac:dyDescent="0.35">
      <c r="B296" t="s">
        <v>650</v>
      </c>
      <c r="C296" t="s">
        <v>651</v>
      </c>
      <c r="D296" t="s">
        <v>254</v>
      </c>
    </row>
    <row r="297" spans="2:4" x14ac:dyDescent="0.35">
      <c r="B297" t="s">
        <v>652</v>
      </c>
      <c r="C297" t="s">
        <v>579</v>
      </c>
      <c r="D297" t="s">
        <v>254</v>
      </c>
    </row>
    <row r="298" spans="2:4" x14ac:dyDescent="0.35">
      <c r="B298" t="s">
        <v>653</v>
      </c>
      <c r="C298" t="s">
        <v>654</v>
      </c>
      <c r="D298" t="s">
        <v>254</v>
      </c>
    </row>
    <row r="299" spans="2:4" x14ac:dyDescent="0.35">
      <c r="B299" t="s">
        <v>655</v>
      </c>
      <c r="C299" t="s">
        <v>656</v>
      </c>
      <c r="D299" t="s">
        <v>254</v>
      </c>
    </row>
    <row r="300" spans="2:4" x14ac:dyDescent="0.35">
      <c r="B300" t="s">
        <v>657</v>
      </c>
      <c r="C300" t="s">
        <v>622</v>
      </c>
      <c r="D300" t="s">
        <v>254</v>
      </c>
    </row>
    <row r="301" spans="2:4" x14ac:dyDescent="0.35">
      <c r="B301" t="s">
        <v>658</v>
      </c>
      <c r="C301" t="s">
        <v>624</v>
      </c>
      <c r="D301" t="s">
        <v>254</v>
      </c>
    </row>
    <row r="302" spans="2:4" x14ac:dyDescent="0.35">
      <c r="B302" t="s">
        <v>659</v>
      </c>
      <c r="C302" t="s">
        <v>660</v>
      </c>
      <c r="D302" t="s">
        <v>254</v>
      </c>
    </row>
    <row r="303" spans="2:4" x14ac:dyDescent="0.35">
      <c r="B303" t="s">
        <v>661</v>
      </c>
      <c r="C303" t="s">
        <v>662</v>
      </c>
      <c r="D303" t="s">
        <v>254</v>
      </c>
    </row>
    <row r="304" spans="2:4" x14ac:dyDescent="0.35">
      <c r="B304" t="s">
        <v>663</v>
      </c>
      <c r="C304" t="s">
        <v>591</v>
      </c>
      <c r="D304" t="s">
        <v>254</v>
      </c>
    </row>
    <row r="305" spans="2:4" x14ac:dyDescent="0.35">
      <c r="B305" t="s">
        <v>664</v>
      </c>
      <c r="C305" t="s">
        <v>612</v>
      </c>
      <c r="D305" t="s">
        <v>254</v>
      </c>
    </row>
    <row r="306" spans="2:4" x14ac:dyDescent="0.35">
      <c r="B306" t="s">
        <v>665</v>
      </c>
      <c r="C306" t="s">
        <v>614</v>
      </c>
      <c r="D306" t="s">
        <v>254</v>
      </c>
    </row>
    <row r="307" spans="2:4" x14ac:dyDescent="0.35">
      <c r="B307" t="s">
        <v>666</v>
      </c>
      <c r="C307" t="s">
        <v>667</v>
      </c>
      <c r="D307" t="s">
        <v>254</v>
      </c>
    </row>
    <row r="308" spans="2:4" x14ac:dyDescent="0.35">
      <c r="B308" t="s">
        <v>668</v>
      </c>
      <c r="C308" t="s">
        <v>669</v>
      </c>
      <c r="D308" t="s">
        <v>254</v>
      </c>
    </row>
    <row r="309" spans="2:4" x14ac:dyDescent="0.35">
      <c r="B309" t="s">
        <v>670</v>
      </c>
      <c r="C309" t="s">
        <v>599</v>
      </c>
      <c r="D309" t="s">
        <v>254</v>
      </c>
    </row>
    <row r="310" spans="2:4" x14ac:dyDescent="0.35">
      <c r="B310" t="s">
        <v>671</v>
      </c>
      <c r="C310" t="s">
        <v>656</v>
      </c>
      <c r="D310" t="s">
        <v>254</v>
      </c>
    </row>
    <row r="311" spans="2:4" x14ac:dyDescent="0.35">
      <c r="B311" t="s">
        <v>672</v>
      </c>
      <c r="C311" t="s">
        <v>622</v>
      </c>
      <c r="D311" t="s">
        <v>254</v>
      </c>
    </row>
    <row r="312" spans="2:4" x14ac:dyDescent="0.35">
      <c r="B312" t="s">
        <v>673</v>
      </c>
      <c r="C312" t="s">
        <v>624</v>
      </c>
      <c r="D312" t="s">
        <v>254</v>
      </c>
    </row>
    <row r="313" spans="2:4" x14ac:dyDescent="0.35">
      <c r="B313" t="s">
        <v>674</v>
      </c>
      <c r="C313" t="s">
        <v>675</v>
      </c>
      <c r="D313" t="s">
        <v>254</v>
      </c>
    </row>
    <row r="314" spans="2:4" x14ac:dyDescent="0.35">
      <c r="B314" t="s">
        <v>676</v>
      </c>
      <c r="C314" t="s">
        <v>677</v>
      </c>
      <c r="D314" t="s">
        <v>254</v>
      </c>
    </row>
    <row r="315" spans="2:4" x14ac:dyDescent="0.35">
      <c r="B315" t="s">
        <v>678</v>
      </c>
      <c r="C315" t="s">
        <v>591</v>
      </c>
      <c r="D315" t="s">
        <v>254</v>
      </c>
    </row>
    <row r="316" spans="2:4" x14ac:dyDescent="0.35">
      <c r="B316" t="s">
        <v>679</v>
      </c>
      <c r="C316" t="s">
        <v>612</v>
      </c>
      <c r="D316" t="s">
        <v>254</v>
      </c>
    </row>
    <row r="317" spans="2:4" x14ac:dyDescent="0.35">
      <c r="B317" t="s">
        <v>680</v>
      </c>
      <c r="C317" t="s">
        <v>614</v>
      </c>
      <c r="D317" t="s">
        <v>254</v>
      </c>
    </row>
    <row r="318" spans="2:4" x14ac:dyDescent="0.35">
      <c r="B318" t="s">
        <v>681</v>
      </c>
      <c r="C318" t="s">
        <v>682</v>
      </c>
      <c r="D318" t="s">
        <v>254</v>
      </c>
    </row>
    <row r="319" spans="2:4" x14ac:dyDescent="0.35">
      <c r="B319" t="s">
        <v>683</v>
      </c>
      <c r="C319" t="s">
        <v>579</v>
      </c>
      <c r="D319" t="s">
        <v>254</v>
      </c>
    </row>
    <row r="320" spans="2:4" x14ac:dyDescent="0.35">
      <c r="B320" t="s">
        <v>684</v>
      </c>
      <c r="C320" t="s">
        <v>599</v>
      </c>
      <c r="D320" t="s">
        <v>254</v>
      </c>
    </row>
    <row r="321" spans="1:6" x14ac:dyDescent="0.35">
      <c r="B321" t="s">
        <v>685</v>
      </c>
      <c r="C321" t="s">
        <v>656</v>
      </c>
      <c r="D321" t="s">
        <v>254</v>
      </c>
    </row>
    <row r="322" spans="1:6" x14ac:dyDescent="0.35">
      <c r="B322" t="s">
        <v>686</v>
      </c>
      <c r="C322" t="s">
        <v>622</v>
      </c>
      <c r="D322" t="s">
        <v>254</v>
      </c>
    </row>
    <row r="323" spans="1:6" x14ac:dyDescent="0.35">
      <c r="B323" t="s">
        <v>687</v>
      </c>
      <c r="C323" t="s">
        <v>624</v>
      </c>
      <c r="D323" t="s">
        <v>254</v>
      </c>
    </row>
    <row r="324" spans="1:6" x14ac:dyDescent="0.35">
      <c r="B324" t="s">
        <v>688</v>
      </c>
      <c r="C324" t="s">
        <v>675</v>
      </c>
      <c r="D324" t="s">
        <v>254</v>
      </c>
    </row>
    <row r="325" spans="1:6" x14ac:dyDescent="0.35">
      <c r="B325" t="s">
        <v>689</v>
      </c>
      <c r="C325" t="s">
        <v>690</v>
      </c>
      <c r="D325" t="s">
        <v>254</v>
      </c>
    </row>
    <row r="326" spans="1:6" x14ac:dyDescent="0.35">
      <c r="B326" t="s">
        <v>691</v>
      </c>
      <c r="C326" t="s">
        <v>591</v>
      </c>
      <c r="D326" t="s">
        <v>254</v>
      </c>
    </row>
    <row r="327" spans="1:6" x14ac:dyDescent="0.35">
      <c r="B327" t="s">
        <v>692</v>
      </c>
      <c r="C327" t="s">
        <v>612</v>
      </c>
      <c r="D327" t="s">
        <v>254</v>
      </c>
    </row>
    <row r="328" spans="1:6" x14ac:dyDescent="0.35">
      <c r="B328" t="s">
        <v>693</v>
      </c>
      <c r="C328" t="s">
        <v>694</v>
      </c>
      <c r="D328" t="s">
        <v>254</v>
      </c>
    </row>
    <row r="329" spans="1:6" x14ac:dyDescent="0.35">
      <c r="A329" s="151" t="s">
        <v>214</v>
      </c>
      <c r="B329" s="151"/>
      <c r="C329" s="151" t="s">
        <v>209</v>
      </c>
      <c r="D329" s="151" t="s">
        <v>250</v>
      </c>
      <c r="E329" s="151" t="s">
        <v>137</v>
      </c>
      <c r="F329" s="151" t="s">
        <v>488</v>
      </c>
    </row>
    <row r="330" spans="1:6" x14ac:dyDescent="0.35">
      <c r="B330" s="148" t="str">
        <f>HYPERLINK("#'Shared Response Lists'!A60", "List_TOOLSCOMP")</f>
        <v>List_TOOLSCOMP</v>
      </c>
      <c r="C330" t="s">
        <v>570</v>
      </c>
      <c r="D330" t="s">
        <v>254</v>
      </c>
    </row>
    <row r="331" spans="1:6" x14ac:dyDescent="0.35">
      <c r="A331" s="151" t="s">
        <v>217</v>
      </c>
      <c r="B331" s="151"/>
      <c r="C331" s="151" t="s">
        <v>218</v>
      </c>
      <c r="D331" s="151" t="s">
        <v>250</v>
      </c>
      <c r="E331" s="151" t="s">
        <v>137</v>
      </c>
      <c r="F331" s="151" t="s">
        <v>507</v>
      </c>
    </row>
    <row r="332" spans="1:6" x14ac:dyDescent="0.35">
      <c r="B332" t="s">
        <v>454</v>
      </c>
      <c r="C332" t="s">
        <v>546</v>
      </c>
      <c r="D332" t="s">
        <v>254</v>
      </c>
    </row>
    <row r="333" spans="1:6" x14ac:dyDescent="0.35">
      <c r="A333" s="151" t="s">
        <v>225</v>
      </c>
      <c r="B333" s="151"/>
      <c r="C333" s="151" t="s">
        <v>226</v>
      </c>
      <c r="D333" s="151" t="s">
        <v>250</v>
      </c>
      <c r="E333" s="151" t="s">
        <v>137</v>
      </c>
      <c r="F333" s="151" t="s">
        <v>507</v>
      </c>
    </row>
    <row r="334" spans="1:6" x14ac:dyDescent="0.35">
      <c r="B334" s="148" t="str">
        <f>HYPERLINK("#'Shared Response Lists'!A72", "List_SOA")</f>
        <v>List_SOA</v>
      </c>
      <c r="C334" t="s">
        <v>570</v>
      </c>
      <c r="D334" t="s">
        <v>254</v>
      </c>
    </row>
    <row r="335" spans="1:6" x14ac:dyDescent="0.35">
      <c r="B335" t="s">
        <v>452</v>
      </c>
      <c r="C335" t="s">
        <v>571</v>
      </c>
      <c r="D335" t="s">
        <v>254</v>
      </c>
    </row>
    <row r="336" spans="1:6" x14ac:dyDescent="0.35">
      <c r="B336" t="s">
        <v>454</v>
      </c>
      <c r="C336" t="s">
        <v>546</v>
      </c>
      <c r="D336" t="s">
        <v>254</v>
      </c>
    </row>
    <row r="337" spans="1:6" x14ac:dyDescent="0.35">
      <c r="A337" s="151" t="s">
        <v>231</v>
      </c>
      <c r="B337" s="151"/>
      <c r="C337" s="151" t="s">
        <v>232</v>
      </c>
      <c r="D337" s="151" t="s">
        <v>250</v>
      </c>
      <c r="E337" s="151" t="s">
        <v>129</v>
      </c>
      <c r="F337" s="151" t="s">
        <v>251</v>
      </c>
    </row>
    <row r="338" spans="1:6" x14ac:dyDescent="0.35">
      <c r="B338" s="148" t="str">
        <f>HYPERLINK("#'Shared Response Lists'!A85", "LIST_TAGLINE")</f>
        <v>LIST_TAGLINE</v>
      </c>
      <c r="C338" t="s">
        <v>570</v>
      </c>
      <c r="D338" t="s">
        <v>254</v>
      </c>
    </row>
    <row r="339" spans="1:6" x14ac:dyDescent="0.35">
      <c r="A339" s="151" t="s">
        <v>233</v>
      </c>
      <c r="B339" s="151"/>
      <c r="C339" s="151" t="s">
        <v>232</v>
      </c>
      <c r="D339" s="151" t="s">
        <v>250</v>
      </c>
      <c r="E339" s="151" t="s">
        <v>129</v>
      </c>
      <c r="F339" s="151" t="s">
        <v>251</v>
      </c>
    </row>
    <row r="340" spans="1:6" x14ac:dyDescent="0.35">
      <c r="B340" s="148" t="str">
        <f>HYPERLINK("#'Shared Response Lists'!A85", "LIST_TAGLINE")</f>
        <v>LIST_TAGLINE</v>
      </c>
      <c r="C340" t="s">
        <v>570</v>
      </c>
      <c r="D340" t="s">
        <v>254</v>
      </c>
    </row>
    <row r="341" spans="1:6" x14ac:dyDescent="0.35">
      <c r="A341" s="151" t="s">
        <v>238</v>
      </c>
      <c r="B341" s="151"/>
      <c r="C341" s="151" t="s">
        <v>239</v>
      </c>
      <c r="D341" s="151" t="s">
        <v>250</v>
      </c>
      <c r="E341" s="151" t="s">
        <v>129</v>
      </c>
      <c r="F341" s="151" t="s">
        <v>251</v>
      </c>
    </row>
    <row r="342" spans="1:6" x14ac:dyDescent="0.35">
      <c r="B342" s="148" t="str">
        <f>HYPERLINK("#'Shared Response Lists'!A85", "LIST_TAGLINE")</f>
        <v>LIST_TAGLINE</v>
      </c>
      <c r="C342" t="s">
        <v>570</v>
      </c>
      <c r="D342" t="s">
        <v>254</v>
      </c>
    </row>
    <row r="343" spans="1:6" x14ac:dyDescent="0.35">
      <c r="A343" s="151" t="s">
        <v>242</v>
      </c>
      <c r="B343" s="151"/>
      <c r="C343" s="151" t="s">
        <v>243</v>
      </c>
      <c r="D343" s="151" t="s">
        <v>250</v>
      </c>
      <c r="E343" s="151" t="s">
        <v>129</v>
      </c>
      <c r="F343" s="151" t="s">
        <v>251</v>
      </c>
    </row>
    <row r="344" spans="1:6" x14ac:dyDescent="0.35">
      <c r="B344" t="s">
        <v>257</v>
      </c>
      <c r="C344" t="s">
        <v>695</v>
      </c>
      <c r="D344" t="s">
        <v>254</v>
      </c>
    </row>
    <row r="345" spans="1:6" x14ac:dyDescent="0.35">
      <c r="B345" t="s">
        <v>258</v>
      </c>
      <c r="C345" t="s">
        <v>696</v>
      </c>
      <c r="D345" t="s">
        <v>254</v>
      </c>
    </row>
    <row r="346" spans="1:6" x14ac:dyDescent="0.35">
      <c r="B346" t="s">
        <v>259</v>
      </c>
      <c r="C346" t="s">
        <v>697</v>
      </c>
      <c r="D346" t="s">
        <v>254</v>
      </c>
    </row>
    <row r="347" spans="1:6" x14ac:dyDescent="0.35">
      <c r="B347" t="s">
        <v>264</v>
      </c>
      <c r="C347" t="s">
        <v>698</v>
      </c>
      <c r="D347" t="s">
        <v>254</v>
      </c>
    </row>
    <row r="348" spans="1:6" x14ac:dyDescent="0.35">
      <c r="B348" t="s">
        <v>266</v>
      </c>
      <c r="C348" t="s">
        <v>699</v>
      </c>
      <c r="D348" t="s">
        <v>254</v>
      </c>
    </row>
    <row r="349" spans="1:6" x14ac:dyDescent="0.35">
      <c r="A349" s="151" t="s">
        <v>244</v>
      </c>
      <c r="B349" s="151"/>
      <c r="C349" s="151" t="s">
        <v>245</v>
      </c>
      <c r="D349" s="151" t="s">
        <v>250</v>
      </c>
      <c r="E349" s="151" t="s">
        <v>137</v>
      </c>
      <c r="F349" s="151" t="s">
        <v>507</v>
      </c>
    </row>
    <row r="350" spans="1:6" x14ac:dyDescent="0.35">
      <c r="B350" t="s">
        <v>700</v>
      </c>
      <c r="C350" t="s">
        <v>701</v>
      </c>
      <c r="D350" t="s">
        <v>254</v>
      </c>
    </row>
    <row r="351" spans="1:6" x14ac:dyDescent="0.35">
      <c r="B351" t="s">
        <v>702</v>
      </c>
      <c r="C351" t="s">
        <v>703</v>
      </c>
      <c r="D351" t="s">
        <v>254</v>
      </c>
    </row>
    <row r="352" spans="1:6" x14ac:dyDescent="0.35">
      <c r="B352" t="s">
        <v>704</v>
      </c>
      <c r="C352" t="s">
        <v>705</v>
      </c>
      <c r="D352" t="s">
        <v>254</v>
      </c>
    </row>
    <row r="353" spans="1:6" x14ac:dyDescent="0.35">
      <c r="B353" t="s">
        <v>706</v>
      </c>
      <c r="C353" t="s">
        <v>707</v>
      </c>
      <c r="D353" t="s">
        <v>254</v>
      </c>
    </row>
    <row r="354" spans="1:6" x14ac:dyDescent="0.35">
      <c r="B354" t="s">
        <v>708</v>
      </c>
      <c r="C354" t="s">
        <v>709</v>
      </c>
      <c r="D354" t="s">
        <v>254</v>
      </c>
    </row>
    <row r="355" spans="1:6" x14ac:dyDescent="0.35">
      <c r="B355" t="s">
        <v>710</v>
      </c>
      <c r="C355" t="s">
        <v>711</v>
      </c>
      <c r="D355" t="s">
        <v>254</v>
      </c>
    </row>
    <row r="356" spans="1:6" x14ac:dyDescent="0.35">
      <c r="B356" t="s">
        <v>712</v>
      </c>
      <c r="C356" t="s">
        <v>713</v>
      </c>
      <c r="D356" t="s">
        <v>254</v>
      </c>
    </row>
    <row r="357" spans="1:6" x14ac:dyDescent="0.35">
      <c r="B357" t="s">
        <v>714</v>
      </c>
      <c r="C357" t="s">
        <v>715</v>
      </c>
      <c r="D357" t="s">
        <v>254</v>
      </c>
    </row>
    <row r="358" spans="1:6" x14ac:dyDescent="0.35">
      <c r="B358" t="s">
        <v>716</v>
      </c>
      <c r="C358" t="s">
        <v>717</v>
      </c>
      <c r="D358" t="s">
        <v>254</v>
      </c>
    </row>
    <row r="359" spans="1:6" x14ac:dyDescent="0.35">
      <c r="B359" t="s">
        <v>718</v>
      </c>
      <c r="C359" t="s">
        <v>719</v>
      </c>
      <c r="D359" t="s">
        <v>254</v>
      </c>
    </row>
    <row r="360" spans="1:6" x14ac:dyDescent="0.35">
      <c r="B360" t="s">
        <v>720</v>
      </c>
      <c r="C360" t="s">
        <v>721</v>
      </c>
      <c r="D360" t="s">
        <v>254</v>
      </c>
    </row>
    <row r="361" spans="1:6" x14ac:dyDescent="0.35">
      <c r="B361" t="s">
        <v>722</v>
      </c>
      <c r="C361" t="s">
        <v>723</v>
      </c>
      <c r="D361" t="s">
        <v>254</v>
      </c>
    </row>
    <row r="362" spans="1:6" x14ac:dyDescent="0.35">
      <c r="B362" t="s">
        <v>724</v>
      </c>
      <c r="C362" t="s">
        <v>725</v>
      </c>
      <c r="D362" t="s">
        <v>254</v>
      </c>
    </row>
    <row r="363" spans="1:6" x14ac:dyDescent="0.35">
      <c r="B363" t="s">
        <v>726</v>
      </c>
      <c r="C363" t="s">
        <v>727</v>
      </c>
      <c r="D363" t="s">
        <v>254</v>
      </c>
    </row>
    <row r="364" spans="1:6" x14ac:dyDescent="0.35">
      <c r="B364" t="s">
        <v>728</v>
      </c>
      <c r="C364" t="s">
        <v>729</v>
      </c>
      <c r="D364" t="s">
        <v>254</v>
      </c>
    </row>
    <row r="365" spans="1:6" x14ac:dyDescent="0.35">
      <c r="B365" t="s">
        <v>730</v>
      </c>
      <c r="C365" t="s">
        <v>731</v>
      </c>
      <c r="D365" t="s">
        <v>254</v>
      </c>
    </row>
    <row r="366" spans="1:6" x14ac:dyDescent="0.35">
      <c r="B366" t="s">
        <v>732</v>
      </c>
      <c r="C366" t="s">
        <v>733</v>
      </c>
      <c r="D366" t="s">
        <v>254</v>
      </c>
    </row>
    <row r="367" spans="1:6" x14ac:dyDescent="0.35">
      <c r="B367" t="s">
        <v>452</v>
      </c>
      <c r="C367" t="s">
        <v>571</v>
      </c>
      <c r="D367" t="s">
        <v>254</v>
      </c>
    </row>
    <row r="368" spans="1:6" x14ac:dyDescent="0.35">
      <c r="A368" s="151" t="s">
        <v>246</v>
      </c>
      <c r="B368" s="151"/>
      <c r="C368" s="151" t="s">
        <v>247</v>
      </c>
      <c r="D368" s="151" t="s">
        <v>250</v>
      </c>
      <c r="E368" s="151" t="s">
        <v>129</v>
      </c>
      <c r="F368" s="151" t="s">
        <v>251</v>
      </c>
    </row>
    <row r="369" spans="1:6" x14ac:dyDescent="0.35">
      <c r="B369" t="s">
        <v>257</v>
      </c>
      <c r="C369" t="s">
        <v>734</v>
      </c>
      <c r="D369" t="s">
        <v>254</v>
      </c>
    </row>
    <row r="370" spans="1:6" x14ac:dyDescent="0.35">
      <c r="B370" t="s">
        <v>258</v>
      </c>
      <c r="C370" t="s">
        <v>735</v>
      </c>
      <c r="D370" t="s">
        <v>254</v>
      </c>
    </row>
    <row r="371" spans="1:6" x14ac:dyDescent="0.35">
      <c r="B371" t="s">
        <v>259</v>
      </c>
      <c r="C371" t="s">
        <v>736</v>
      </c>
      <c r="D371" t="s">
        <v>254</v>
      </c>
    </row>
    <row r="372" spans="1:6" x14ac:dyDescent="0.35">
      <c r="B372" t="s">
        <v>264</v>
      </c>
      <c r="C372" t="s">
        <v>737</v>
      </c>
      <c r="D372" t="s">
        <v>254</v>
      </c>
    </row>
    <row r="373" spans="1:6" x14ac:dyDescent="0.35">
      <c r="A373" s="151" t="s">
        <v>248</v>
      </c>
      <c r="B373" s="151"/>
      <c r="C373" s="151" t="s">
        <v>249</v>
      </c>
      <c r="D373" s="151" t="s">
        <v>250</v>
      </c>
      <c r="E373" s="151" t="s">
        <v>129</v>
      </c>
      <c r="F373" s="151" t="s">
        <v>251</v>
      </c>
    </row>
    <row r="374" spans="1:6" x14ac:dyDescent="0.35">
      <c r="B374" t="s">
        <v>257</v>
      </c>
      <c r="C374" t="s">
        <v>738</v>
      </c>
      <c r="D374" t="s">
        <v>254</v>
      </c>
    </row>
    <row r="375" spans="1:6" x14ac:dyDescent="0.35">
      <c r="B375" t="s">
        <v>258</v>
      </c>
      <c r="C375" t="s">
        <v>739</v>
      </c>
      <c r="D375" t="s">
        <v>254</v>
      </c>
    </row>
    <row r="376" spans="1:6" x14ac:dyDescent="0.35">
      <c r="B376" t="s">
        <v>259</v>
      </c>
      <c r="C376" t="s">
        <v>740</v>
      </c>
      <c r="D376" t="s">
        <v>254</v>
      </c>
    </row>
    <row r="377" spans="1:6" x14ac:dyDescent="0.35">
      <c r="B377" t="s">
        <v>264</v>
      </c>
      <c r="C377" t="s">
        <v>741</v>
      </c>
      <c r="D377" t="s">
        <v>254</v>
      </c>
    </row>
    <row r="378" spans="1:6" x14ac:dyDescent="0.35">
      <c r="B378" t="s">
        <v>266</v>
      </c>
      <c r="C378" t="s">
        <v>742</v>
      </c>
      <c r="D378" t="s">
        <v>254</v>
      </c>
    </row>
    <row r="379" spans="1:6" x14ac:dyDescent="0.35">
      <c r="B379" t="s">
        <v>268</v>
      </c>
      <c r="C379" t="s">
        <v>743</v>
      </c>
      <c r="D379" t="s">
        <v>254</v>
      </c>
    </row>
    <row r="380" spans="1:6" x14ac:dyDescent="0.35">
      <c r="B380" t="s">
        <v>270</v>
      </c>
      <c r="C380" t="s">
        <v>744</v>
      </c>
      <c r="D380" t="s">
        <v>254</v>
      </c>
    </row>
    <row r="381" spans="1:6" x14ac:dyDescent="0.35">
      <c r="A381" s="151" t="s">
        <v>745</v>
      </c>
      <c r="B381" s="151"/>
      <c r="C381" s="151" t="s">
        <v>746</v>
      </c>
      <c r="D381" s="151" t="s">
        <v>747</v>
      </c>
      <c r="E381" s="151" t="s">
        <v>748</v>
      </c>
      <c r="F381" s="151"/>
    </row>
    <row r="382" spans="1:6" x14ac:dyDescent="0.35">
      <c r="B382" s="148" t="str">
        <f>HYPERLINK("#'Shared Response Lists'!A14", "List_aware")</f>
        <v>List_aware</v>
      </c>
      <c r="C382" t="s">
        <v>570</v>
      </c>
      <c r="D382" t="s">
        <v>749</v>
      </c>
    </row>
    <row r="383" spans="1:6" x14ac:dyDescent="0.35">
      <c r="A383" s="151" t="s">
        <v>145</v>
      </c>
      <c r="B383" s="151"/>
      <c r="C383" s="151" t="s">
        <v>146</v>
      </c>
      <c r="D383" s="151" t="s">
        <v>250</v>
      </c>
      <c r="E383" s="151" t="s">
        <v>129</v>
      </c>
      <c r="F383" s="151" t="s">
        <v>251</v>
      </c>
    </row>
    <row r="384" spans="1:6" x14ac:dyDescent="0.35">
      <c r="B384" t="s">
        <v>257</v>
      </c>
      <c r="C384" t="s">
        <v>750</v>
      </c>
      <c r="D384" t="s">
        <v>254</v>
      </c>
    </row>
    <row r="385" spans="1:6" x14ac:dyDescent="0.35">
      <c r="B385" t="s">
        <v>258</v>
      </c>
      <c r="C385" t="s">
        <v>751</v>
      </c>
      <c r="D385" t="s">
        <v>254</v>
      </c>
    </row>
    <row r="386" spans="1:6" x14ac:dyDescent="0.35">
      <c r="B386" t="s">
        <v>259</v>
      </c>
      <c r="C386" t="s">
        <v>752</v>
      </c>
      <c r="D386" t="s">
        <v>254</v>
      </c>
    </row>
    <row r="387" spans="1:6" x14ac:dyDescent="0.35">
      <c r="B387" t="s">
        <v>264</v>
      </c>
      <c r="C387" t="s">
        <v>753</v>
      </c>
      <c r="D387" t="s">
        <v>254</v>
      </c>
    </row>
    <row r="388" spans="1:6" x14ac:dyDescent="0.35">
      <c r="B388" t="s">
        <v>266</v>
      </c>
      <c r="C388" t="s">
        <v>754</v>
      </c>
      <c r="D388" t="s">
        <v>254</v>
      </c>
    </row>
    <row r="389" spans="1:6" x14ac:dyDescent="0.35">
      <c r="B389" t="s">
        <v>268</v>
      </c>
      <c r="C389" t="s">
        <v>755</v>
      </c>
      <c r="D389" t="s">
        <v>254</v>
      </c>
    </row>
    <row r="390" spans="1:6" x14ac:dyDescent="0.35">
      <c r="B390" t="s">
        <v>270</v>
      </c>
      <c r="C390" t="s">
        <v>756</v>
      </c>
      <c r="D390" t="s">
        <v>254</v>
      </c>
    </row>
    <row r="391" spans="1:6" x14ac:dyDescent="0.35">
      <c r="B391" t="s">
        <v>272</v>
      </c>
      <c r="C391" t="s">
        <v>757</v>
      </c>
      <c r="D391" t="s">
        <v>254</v>
      </c>
    </row>
    <row r="392" spans="1:6" x14ac:dyDescent="0.35">
      <c r="B392" t="s">
        <v>274</v>
      </c>
      <c r="C392" t="s">
        <v>758</v>
      </c>
      <c r="D392" t="s">
        <v>254</v>
      </c>
    </row>
    <row r="393" spans="1:6" x14ac:dyDescent="0.35">
      <c r="B393" t="s">
        <v>276</v>
      </c>
      <c r="C393" t="s">
        <v>759</v>
      </c>
      <c r="D393" t="s">
        <v>254</v>
      </c>
    </row>
    <row r="394" spans="1:6" x14ac:dyDescent="0.35">
      <c r="A394" s="151" t="s">
        <v>760</v>
      </c>
      <c r="B394" s="151"/>
      <c r="C394" s="151" t="s">
        <v>761</v>
      </c>
      <c r="D394" s="151" t="s">
        <v>747</v>
      </c>
      <c r="E394" s="151" t="s">
        <v>748</v>
      </c>
      <c r="F394" s="151"/>
    </row>
    <row r="395" spans="1:6" x14ac:dyDescent="0.35">
      <c r="B395" s="148" t="str">
        <f>HYPERLINK("#'Shared Response Lists'!A29", "List_aware_names")</f>
        <v>List_aware_names</v>
      </c>
      <c r="C395" t="s">
        <v>570</v>
      </c>
      <c r="D395" t="s">
        <v>749</v>
      </c>
    </row>
    <row r="396" spans="1:6" x14ac:dyDescent="0.35">
      <c r="A396" s="151" t="s">
        <v>149</v>
      </c>
      <c r="B396" s="151"/>
      <c r="C396" s="151" t="s">
        <v>150</v>
      </c>
      <c r="D396" s="151" t="s">
        <v>250</v>
      </c>
      <c r="E396" s="151" t="s">
        <v>137</v>
      </c>
      <c r="F396" s="151" t="s">
        <v>488</v>
      </c>
    </row>
    <row r="397" spans="1:6" x14ac:dyDescent="0.35">
      <c r="B397" t="s">
        <v>257</v>
      </c>
      <c r="C397" t="s">
        <v>525</v>
      </c>
      <c r="D397" t="s">
        <v>254</v>
      </c>
    </row>
    <row r="398" spans="1:6" x14ac:dyDescent="0.35">
      <c r="B398" t="s">
        <v>258</v>
      </c>
      <c r="C398" t="s">
        <v>526</v>
      </c>
      <c r="D398" t="s">
        <v>254</v>
      </c>
    </row>
    <row r="399" spans="1:6" x14ac:dyDescent="0.35">
      <c r="B399" t="s">
        <v>259</v>
      </c>
      <c r="C399" t="s">
        <v>527</v>
      </c>
      <c r="D399" t="s">
        <v>254</v>
      </c>
    </row>
    <row r="400" spans="1:6" x14ac:dyDescent="0.35">
      <c r="B400" t="s">
        <v>264</v>
      </c>
      <c r="C400" t="s">
        <v>528</v>
      </c>
      <c r="D400" t="s">
        <v>254</v>
      </c>
    </row>
    <row r="401" spans="1:6" x14ac:dyDescent="0.35">
      <c r="B401" t="s">
        <v>266</v>
      </c>
      <c r="C401" t="s">
        <v>529</v>
      </c>
      <c r="D401" t="s">
        <v>254</v>
      </c>
    </row>
    <row r="402" spans="1:6" x14ac:dyDescent="0.35">
      <c r="A402" s="151" t="s">
        <v>762</v>
      </c>
      <c r="B402" s="151"/>
      <c r="C402" s="151" t="s">
        <v>763</v>
      </c>
      <c r="D402" s="151" t="s">
        <v>747</v>
      </c>
      <c r="E402" s="151" t="s">
        <v>748</v>
      </c>
      <c r="F402" s="151"/>
    </row>
    <row r="403" spans="1:6" x14ac:dyDescent="0.35">
      <c r="B403" s="148" t="str">
        <f>HYPERLINK("#'Shared Response Lists'!A29", "List_aware_names")</f>
        <v>List_aware_names</v>
      </c>
      <c r="C403" t="s">
        <v>570</v>
      </c>
      <c r="D403" t="s">
        <v>749</v>
      </c>
    </row>
    <row r="404" spans="1:6" x14ac:dyDescent="0.35">
      <c r="A404" s="151" t="s">
        <v>152</v>
      </c>
      <c r="B404" s="151"/>
      <c r="C404" s="151" t="s">
        <v>153</v>
      </c>
      <c r="D404" s="151" t="s">
        <v>250</v>
      </c>
      <c r="E404" s="151" t="s">
        <v>137</v>
      </c>
      <c r="F404" s="151" t="s">
        <v>488</v>
      </c>
    </row>
    <row r="405" spans="1:6" x14ac:dyDescent="0.35">
      <c r="B405" t="s">
        <v>257</v>
      </c>
      <c r="C405" t="s">
        <v>530</v>
      </c>
      <c r="D405" t="s">
        <v>254</v>
      </c>
    </row>
    <row r="406" spans="1:6" x14ac:dyDescent="0.35">
      <c r="B406" t="s">
        <v>258</v>
      </c>
      <c r="C406" t="s">
        <v>531</v>
      </c>
      <c r="D406" t="s">
        <v>254</v>
      </c>
    </row>
    <row r="407" spans="1:6" x14ac:dyDescent="0.35">
      <c r="A407" s="151" t="s">
        <v>764</v>
      </c>
      <c r="B407" s="151"/>
      <c r="C407" s="151" t="s">
        <v>765</v>
      </c>
      <c r="D407" s="151" t="s">
        <v>747</v>
      </c>
      <c r="E407" s="151" t="s">
        <v>748</v>
      </c>
      <c r="F407" s="151"/>
    </row>
    <row r="408" spans="1:6" x14ac:dyDescent="0.35">
      <c r="B408" t="s">
        <v>257</v>
      </c>
      <c r="C408"/>
      <c r="D408" t="s">
        <v>749</v>
      </c>
    </row>
    <row r="409" spans="1:6" x14ac:dyDescent="0.35">
      <c r="B409" t="s">
        <v>258</v>
      </c>
      <c r="C409"/>
      <c r="D409" t="s">
        <v>749</v>
      </c>
    </row>
    <row r="410" spans="1:6" x14ac:dyDescent="0.35">
      <c r="B410" t="s">
        <v>259</v>
      </c>
      <c r="C410"/>
      <c r="D410" t="s">
        <v>749</v>
      </c>
    </row>
    <row r="411" spans="1:6" x14ac:dyDescent="0.35">
      <c r="B411" t="s">
        <v>264</v>
      </c>
      <c r="C411"/>
      <c r="D411" t="s">
        <v>749</v>
      </c>
    </row>
    <row r="412" spans="1:6" x14ac:dyDescent="0.35">
      <c r="B412" t="s">
        <v>266</v>
      </c>
      <c r="C412"/>
      <c r="D412" t="s">
        <v>749</v>
      </c>
    </row>
    <row r="413" spans="1:6" x14ac:dyDescent="0.35">
      <c r="A413" s="151" t="s">
        <v>154</v>
      </c>
      <c r="B413" s="151"/>
      <c r="C413" s="151" t="s">
        <v>155</v>
      </c>
      <c r="D413" s="151" t="s">
        <v>84</v>
      </c>
      <c r="E413" s="151" t="s">
        <v>84</v>
      </c>
      <c r="F413" s="151"/>
    </row>
    <row r="414" spans="1:6" x14ac:dyDescent="0.35">
      <c r="A414" s="151" t="s">
        <v>766</v>
      </c>
      <c r="B414" s="151"/>
      <c r="C414" s="151" t="s">
        <v>767</v>
      </c>
      <c r="D414" s="151" t="s">
        <v>747</v>
      </c>
      <c r="E414" s="151" t="s">
        <v>748</v>
      </c>
      <c r="F414" s="151"/>
    </row>
    <row r="415" spans="1:6" x14ac:dyDescent="0.35">
      <c r="B415" s="148" t="str">
        <f>HYPERLINK("#'Shared Response Lists'!A14", "List_aware")</f>
        <v>List_aware</v>
      </c>
      <c r="C415" t="s">
        <v>570</v>
      </c>
      <c r="D415" t="s">
        <v>749</v>
      </c>
    </row>
    <row r="416" spans="1:6" x14ac:dyDescent="0.35">
      <c r="A416" s="151" t="s">
        <v>162</v>
      </c>
      <c r="B416" s="151"/>
      <c r="C416" s="151" t="s">
        <v>163</v>
      </c>
      <c r="D416" s="151" t="s">
        <v>250</v>
      </c>
      <c r="E416" s="151" t="s">
        <v>129</v>
      </c>
      <c r="F416" s="151" t="s">
        <v>251</v>
      </c>
    </row>
    <row r="417" spans="1:6" x14ac:dyDescent="0.35">
      <c r="B417" t="s">
        <v>257</v>
      </c>
      <c r="C417" t="s">
        <v>547</v>
      </c>
      <c r="D417" t="s">
        <v>254</v>
      </c>
    </row>
    <row r="418" spans="1:6" x14ac:dyDescent="0.35">
      <c r="B418" t="s">
        <v>258</v>
      </c>
      <c r="C418" t="s">
        <v>548</v>
      </c>
      <c r="D418" t="s">
        <v>254</v>
      </c>
    </row>
    <row r="419" spans="1:6" x14ac:dyDescent="0.35">
      <c r="B419" t="s">
        <v>259</v>
      </c>
      <c r="C419" t="s">
        <v>549</v>
      </c>
      <c r="D419" t="s">
        <v>254</v>
      </c>
    </row>
    <row r="420" spans="1:6" x14ac:dyDescent="0.35">
      <c r="B420" t="s">
        <v>264</v>
      </c>
      <c r="C420" t="s">
        <v>550</v>
      </c>
      <c r="D420" t="s">
        <v>254</v>
      </c>
    </row>
    <row r="421" spans="1:6" x14ac:dyDescent="0.35">
      <c r="B421" t="s">
        <v>266</v>
      </c>
      <c r="C421" t="s">
        <v>551</v>
      </c>
      <c r="D421" t="s">
        <v>254</v>
      </c>
    </row>
    <row r="422" spans="1:6" x14ac:dyDescent="0.35">
      <c r="B422" t="s">
        <v>268</v>
      </c>
      <c r="C422" t="s">
        <v>552</v>
      </c>
      <c r="D422" t="s">
        <v>254</v>
      </c>
    </row>
    <row r="423" spans="1:6" x14ac:dyDescent="0.35">
      <c r="B423" t="s">
        <v>270</v>
      </c>
      <c r="C423" t="s">
        <v>553</v>
      </c>
      <c r="D423" t="s">
        <v>254</v>
      </c>
    </row>
    <row r="424" spans="1:6" x14ac:dyDescent="0.35">
      <c r="B424" t="s">
        <v>454</v>
      </c>
      <c r="C424" t="s">
        <v>768</v>
      </c>
      <c r="D424" t="s">
        <v>254</v>
      </c>
    </row>
    <row r="425" spans="1:6" x14ac:dyDescent="0.35">
      <c r="A425" s="151" t="s">
        <v>769</v>
      </c>
      <c r="B425" s="151"/>
      <c r="C425" s="151" t="s">
        <v>770</v>
      </c>
      <c r="D425" s="151" t="s">
        <v>747</v>
      </c>
      <c r="E425" s="151" t="s">
        <v>748</v>
      </c>
      <c r="F425" s="151"/>
    </row>
    <row r="426" spans="1:6" x14ac:dyDescent="0.35">
      <c r="B426" t="s">
        <v>257</v>
      </c>
      <c r="C426" t="s">
        <v>771</v>
      </c>
      <c r="D426" t="s">
        <v>749</v>
      </c>
    </row>
    <row r="427" spans="1:6" x14ac:dyDescent="0.35">
      <c r="B427" t="s">
        <v>258</v>
      </c>
      <c r="C427" t="s">
        <v>772</v>
      </c>
      <c r="D427" t="s">
        <v>749</v>
      </c>
    </row>
    <row r="428" spans="1:6" x14ac:dyDescent="0.35">
      <c r="B428" t="s">
        <v>259</v>
      </c>
      <c r="C428" t="s">
        <v>773</v>
      </c>
      <c r="D428" t="s">
        <v>749</v>
      </c>
    </row>
    <row r="429" spans="1:6" x14ac:dyDescent="0.35">
      <c r="B429" t="s">
        <v>266</v>
      </c>
      <c r="C429" t="s">
        <v>774</v>
      </c>
      <c r="D429" t="s">
        <v>749</v>
      </c>
    </row>
    <row r="430" spans="1:6" x14ac:dyDescent="0.35">
      <c r="B430" t="s">
        <v>270</v>
      </c>
      <c r="C430" t="s">
        <v>775</v>
      </c>
      <c r="D430" t="s">
        <v>749</v>
      </c>
    </row>
    <row r="431" spans="1:6" x14ac:dyDescent="0.35">
      <c r="B431" t="s">
        <v>272</v>
      </c>
      <c r="C431" t="s">
        <v>559</v>
      </c>
      <c r="D431" t="s">
        <v>749</v>
      </c>
    </row>
    <row r="432" spans="1:6" x14ac:dyDescent="0.35">
      <c r="A432" s="151" t="s">
        <v>167</v>
      </c>
      <c r="B432" s="151"/>
      <c r="C432" s="151" t="s">
        <v>168</v>
      </c>
      <c r="D432" s="151" t="s">
        <v>250</v>
      </c>
      <c r="E432" s="151" t="s">
        <v>129</v>
      </c>
      <c r="F432" s="151" t="s">
        <v>251</v>
      </c>
    </row>
    <row r="433" spans="1:6" x14ac:dyDescent="0.35">
      <c r="B433" t="s">
        <v>257</v>
      </c>
      <c r="C433" t="s">
        <v>750</v>
      </c>
      <c r="D433" t="s">
        <v>254</v>
      </c>
    </row>
    <row r="434" spans="1:6" x14ac:dyDescent="0.35">
      <c r="B434" t="s">
        <v>258</v>
      </c>
      <c r="C434" t="s">
        <v>751</v>
      </c>
      <c r="D434" t="s">
        <v>254</v>
      </c>
    </row>
    <row r="435" spans="1:6" x14ac:dyDescent="0.35">
      <c r="B435" t="s">
        <v>259</v>
      </c>
      <c r="C435" t="s">
        <v>752</v>
      </c>
      <c r="D435" t="s">
        <v>254</v>
      </c>
    </row>
    <row r="436" spans="1:6" x14ac:dyDescent="0.35">
      <c r="B436" t="s">
        <v>264</v>
      </c>
      <c r="C436" t="s">
        <v>753</v>
      </c>
      <c r="D436" t="s">
        <v>254</v>
      </c>
    </row>
    <row r="437" spans="1:6" x14ac:dyDescent="0.35">
      <c r="B437" t="s">
        <v>266</v>
      </c>
      <c r="C437" t="s">
        <v>754</v>
      </c>
      <c r="D437" t="s">
        <v>254</v>
      </c>
    </row>
    <row r="438" spans="1:6" x14ac:dyDescent="0.35">
      <c r="B438" t="s">
        <v>268</v>
      </c>
      <c r="C438" t="s">
        <v>755</v>
      </c>
      <c r="D438" t="s">
        <v>254</v>
      </c>
    </row>
    <row r="439" spans="1:6" x14ac:dyDescent="0.35">
      <c r="B439" t="s">
        <v>270</v>
      </c>
      <c r="C439" t="s">
        <v>756</v>
      </c>
      <c r="D439" t="s">
        <v>254</v>
      </c>
    </row>
    <row r="440" spans="1:6" x14ac:dyDescent="0.35">
      <c r="B440" t="s">
        <v>272</v>
      </c>
      <c r="C440" t="s">
        <v>757</v>
      </c>
      <c r="D440" t="s">
        <v>254</v>
      </c>
    </row>
    <row r="441" spans="1:6" x14ac:dyDescent="0.35">
      <c r="B441" t="s">
        <v>274</v>
      </c>
      <c r="C441" t="s">
        <v>776</v>
      </c>
      <c r="D441" t="s">
        <v>254</v>
      </c>
    </row>
    <row r="442" spans="1:6" x14ac:dyDescent="0.35">
      <c r="B442" t="s">
        <v>276</v>
      </c>
      <c r="C442" t="s">
        <v>777</v>
      </c>
      <c r="D442" t="s">
        <v>254</v>
      </c>
    </row>
    <row r="443" spans="1:6" x14ac:dyDescent="0.35">
      <c r="A443" s="151" t="s">
        <v>778</v>
      </c>
      <c r="B443" s="151"/>
      <c r="C443" s="151"/>
      <c r="D443" s="151" t="s">
        <v>747</v>
      </c>
      <c r="E443" s="151" t="s">
        <v>748</v>
      </c>
      <c r="F443" s="151"/>
    </row>
    <row r="444" spans="1:6" x14ac:dyDescent="0.35">
      <c r="B444" t="s">
        <v>257</v>
      </c>
      <c r="C444" t="s">
        <v>771</v>
      </c>
      <c r="D444" t="s">
        <v>749</v>
      </c>
    </row>
    <row r="445" spans="1:6" x14ac:dyDescent="0.35">
      <c r="B445" t="s">
        <v>258</v>
      </c>
      <c r="C445" t="s">
        <v>772</v>
      </c>
      <c r="D445" t="s">
        <v>749</v>
      </c>
    </row>
    <row r="446" spans="1:6" x14ac:dyDescent="0.35">
      <c r="B446" t="s">
        <v>259</v>
      </c>
      <c r="C446" t="s">
        <v>773</v>
      </c>
      <c r="D446" t="s">
        <v>749</v>
      </c>
    </row>
    <row r="447" spans="1:6" x14ac:dyDescent="0.35">
      <c r="B447" t="s">
        <v>266</v>
      </c>
      <c r="C447" t="s">
        <v>774</v>
      </c>
      <c r="D447" t="s">
        <v>749</v>
      </c>
    </row>
    <row r="448" spans="1:6" x14ac:dyDescent="0.35">
      <c r="B448" t="s">
        <v>270</v>
      </c>
      <c r="C448" t="s">
        <v>775</v>
      </c>
      <c r="D448" t="s">
        <v>749</v>
      </c>
    </row>
    <row r="449" spans="1:6" x14ac:dyDescent="0.35">
      <c r="B449" t="s">
        <v>272</v>
      </c>
      <c r="C449" t="s">
        <v>559</v>
      </c>
      <c r="D449" t="s">
        <v>749</v>
      </c>
    </row>
    <row r="450" spans="1:6" x14ac:dyDescent="0.35">
      <c r="A450" s="151" t="s">
        <v>170</v>
      </c>
      <c r="B450" s="151"/>
      <c r="C450" s="151"/>
      <c r="D450" s="151" t="s">
        <v>250</v>
      </c>
      <c r="E450" s="151" t="s">
        <v>137</v>
      </c>
      <c r="F450" s="151" t="s">
        <v>507</v>
      </c>
    </row>
    <row r="451" spans="1:6" x14ac:dyDescent="0.35">
      <c r="B451" t="s">
        <v>257</v>
      </c>
      <c r="C451" t="s">
        <v>525</v>
      </c>
      <c r="D451" t="s">
        <v>254</v>
      </c>
    </row>
    <row r="452" spans="1:6" x14ac:dyDescent="0.35">
      <c r="B452" t="s">
        <v>258</v>
      </c>
      <c r="C452" t="s">
        <v>526</v>
      </c>
      <c r="D452" t="s">
        <v>254</v>
      </c>
    </row>
    <row r="453" spans="1:6" x14ac:dyDescent="0.35">
      <c r="B453" t="s">
        <v>259</v>
      </c>
      <c r="C453" t="s">
        <v>527</v>
      </c>
      <c r="D453" t="s">
        <v>254</v>
      </c>
    </row>
    <row r="454" spans="1:6" x14ac:dyDescent="0.35">
      <c r="B454" t="s">
        <v>264</v>
      </c>
      <c r="C454" t="s">
        <v>528</v>
      </c>
      <c r="D454" t="s">
        <v>254</v>
      </c>
    </row>
    <row r="455" spans="1:6" x14ac:dyDescent="0.35">
      <c r="B455" t="s">
        <v>266</v>
      </c>
      <c r="C455" t="s">
        <v>529</v>
      </c>
      <c r="D455" t="s">
        <v>254</v>
      </c>
    </row>
    <row r="456" spans="1:6" x14ac:dyDescent="0.35">
      <c r="A456" s="151" t="s">
        <v>779</v>
      </c>
      <c r="B456" s="151"/>
      <c r="C456" s="151" t="s">
        <v>780</v>
      </c>
      <c r="D456" s="151" t="s">
        <v>747</v>
      </c>
      <c r="E456" s="151" t="s">
        <v>748</v>
      </c>
      <c r="F456" s="151"/>
    </row>
    <row r="457" spans="1:6" x14ac:dyDescent="0.35">
      <c r="B457" t="s">
        <v>257</v>
      </c>
      <c r="C457" t="s">
        <v>771</v>
      </c>
      <c r="D457" t="s">
        <v>749</v>
      </c>
    </row>
    <row r="458" spans="1:6" x14ac:dyDescent="0.35">
      <c r="B458" t="s">
        <v>258</v>
      </c>
      <c r="C458" t="s">
        <v>772</v>
      </c>
      <c r="D458" t="s">
        <v>749</v>
      </c>
    </row>
    <row r="459" spans="1:6" x14ac:dyDescent="0.35">
      <c r="B459" t="s">
        <v>259</v>
      </c>
      <c r="C459" t="s">
        <v>773</v>
      </c>
      <c r="D459" t="s">
        <v>749</v>
      </c>
    </row>
    <row r="460" spans="1:6" x14ac:dyDescent="0.35">
      <c r="B460" t="s">
        <v>266</v>
      </c>
      <c r="C460" t="s">
        <v>774</v>
      </c>
      <c r="D460" t="s">
        <v>749</v>
      </c>
    </row>
    <row r="461" spans="1:6" x14ac:dyDescent="0.35">
      <c r="B461" t="s">
        <v>270</v>
      </c>
      <c r="C461" t="s">
        <v>775</v>
      </c>
      <c r="D461" t="s">
        <v>749</v>
      </c>
    </row>
    <row r="462" spans="1:6" x14ac:dyDescent="0.35">
      <c r="B462" t="s">
        <v>272</v>
      </c>
      <c r="C462" t="s">
        <v>559</v>
      </c>
      <c r="D462" t="s">
        <v>749</v>
      </c>
    </row>
    <row r="463" spans="1:6" x14ac:dyDescent="0.35">
      <c r="A463" s="151" t="s">
        <v>171</v>
      </c>
      <c r="B463" s="151"/>
      <c r="C463" s="151" t="s">
        <v>172</v>
      </c>
      <c r="D463" s="151" t="s">
        <v>250</v>
      </c>
      <c r="E463" s="151" t="s">
        <v>129</v>
      </c>
      <c r="F463" s="151" t="s">
        <v>251</v>
      </c>
    </row>
    <row r="464" spans="1:6" x14ac:dyDescent="0.35">
      <c r="B464" t="s">
        <v>257</v>
      </c>
      <c r="C464" t="s">
        <v>781</v>
      </c>
      <c r="D464" t="s">
        <v>254</v>
      </c>
    </row>
    <row r="465" spans="1:6" x14ac:dyDescent="0.35">
      <c r="B465" t="s">
        <v>258</v>
      </c>
      <c r="C465" t="s">
        <v>782</v>
      </c>
      <c r="D465" t="s">
        <v>254</v>
      </c>
    </row>
    <row r="466" spans="1:6" x14ac:dyDescent="0.35">
      <c r="B466" t="s">
        <v>259</v>
      </c>
      <c r="C466" t="s">
        <v>783</v>
      </c>
      <c r="D466" t="s">
        <v>254</v>
      </c>
    </row>
    <row r="467" spans="1:6" x14ac:dyDescent="0.35">
      <c r="B467" t="s">
        <v>264</v>
      </c>
      <c r="C467" t="s">
        <v>784</v>
      </c>
      <c r="D467" t="s">
        <v>254</v>
      </c>
    </row>
    <row r="468" spans="1:6" x14ac:dyDescent="0.35">
      <c r="B468" t="s">
        <v>266</v>
      </c>
      <c r="C468" t="s">
        <v>785</v>
      </c>
      <c r="D468" t="s">
        <v>254</v>
      </c>
    </row>
    <row r="469" spans="1:6" x14ac:dyDescent="0.35">
      <c r="A469" s="151" t="s">
        <v>786</v>
      </c>
      <c r="B469" s="151"/>
      <c r="C469" s="151"/>
      <c r="D469" s="151" t="s">
        <v>747</v>
      </c>
      <c r="E469" s="151" t="s">
        <v>748</v>
      </c>
      <c r="F469" s="151"/>
    </row>
    <row r="470" spans="1:6" x14ac:dyDescent="0.35">
      <c r="B470" t="s">
        <v>257</v>
      </c>
      <c r="C470" t="s">
        <v>771</v>
      </c>
      <c r="D470" t="s">
        <v>749</v>
      </c>
    </row>
    <row r="471" spans="1:6" x14ac:dyDescent="0.35">
      <c r="B471" t="s">
        <v>258</v>
      </c>
      <c r="C471" t="s">
        <v>772</v>
      </c>
      <c r="D471" t="s">
        <v>749</v>
      </c>
    </row>
    <row r="472" spans="1:6" x14ac:dyDescent="0.35">
      <c r="B472" t="s">
        <v>259</v>
      </c>
      <c r="C472" t="s">
        <v>773</v>
      </c>
      <c r="D472" t="s">
        <v>749</v>
      </c>
    </row>
    <row r="473" spans="1:6" x14ac:dyDescent="0.35">
      <c r="B473" t="s">
        <v>266</v>
      </c>
      <c r="C473" t="s">
        <v>774</v>
      </c>
      <c r="D473" t="s">
        <v>749</v>
      </c>
    </row>
    <row r="474" spans="1:6" x14ac:dyDescent="0.35">
      <c r="B474" t="s">
        <v>270</v>
      </c>
      <c r="C474" t="s">
        <v>775</v>
      </c>
      <c r="D474" t="s">
        <v>749</v>
      </c>
    </row>
    <row r="475" spans="1:6" x14ac:dyDescent="0.35">
      <c r="B475" t="s">
        <v>272</v>
      </c>
      <c r="C475" t="s">
        <v>559</v>
      </c>
      <c r="D475" t="s">
        <v>749</v>
      </c>
    </row>
    <row r="476" spans="1:6" x14ac:dyDescent="0.35">
      <c r="A476" s="151" t="s">
        <v>176</v>
      </c>
      <c r="B476" s="151"/>
      <c r="C476" s="151"/>
      <c r="D476" s="151" t="s">
        <v>250</v>
      </c>
      <c r="E476" s="151" t="s">
        <v>137</v>
      </c>
      <c r="F476" s="151" t="s">
        <v>507</v>
      </c>
    </row>
    <row r="477" spans="1:6" x14ac:dyDescent="0.35">
      <c r="B477" t="s">
        <v>257</v>
      </c>
      <c r="C477" t="s">
        <v>568</v>
      </c>
      <c r="D477" t="s">
        <v>254</v>
      </c>
    </row>
    <row r="478" spans="1:6" x14ac:dyDescent="0.35">
      <c r="B478" t="s">
        <v>258</v>
      </c>
      <c r="C478" t="s">
        <v>569</v>
      </c>
      <c r="D478" t="s">
        <v>254</v>
      </c>
    </row>
    <row r="479" spans="1:6" x14ac:dyDescent="0.35">
      <c r="A479" s="151" t="s">
        <v>787</v>
      </c>
      <c r="B479" s="151"/>
      <c r="C479" s="151" t="s">
        <v>788</v>
      </c>
      <c r="D479" s="151" t="s">
        <v>747</v>
      </c>
      <c r="E479" s="151" t="s">
        <v>748</v>
      </c>
      <c r="F479" s="151"/>
    </row>
    <row r="480" spans="1:6" x14ac:dyDescent="0.35">
      <c r="B480" t="s">
        <v>257</v>
      </c>
      <c r="C480" t="s">
        <v>771</v>
      </c>
      <c r="D480" t="s">
        <v>749</v>
      </c>
    </row>
    <row r="481" spans="1:6" x14ac:dyDescent="0.35">
      <c r="B481" t="s">
        <v>258</v>
      </c>
      <c r="C481" t="s">
        <v>772</v>
      </c>
      <c r="D481" t="s">
        <v>749</v>
      </c>
    </row>
    <row r="482" spans="1:6" x14ac:dyDescent="0.35">
      <c r="B482" t="s">
        <v>259</v>
      </c>
      <c r="C482" t="s">
        <v>773</v>
      </c>
      <c r="D482" t="s">
        <v>749</v>
      </c>
    </row>
    <row r="483" spans="1:6" x14ac:dyDescent="0.35">
      <c r="B483" t="s">
        <v>266</v>
      </c>
      <c r="C483" t="s">
        <v>774</v>
      </c>
      <c r="D483" t="s">
        <v>749</v>
      </c>
    </row>
    <row r="484" spans="1:6" x14ac:dyDescent="0.35">
      <c r="B484" t="s">
        <v>270</v>
      </c>
      <c r="C484" t="s">
        <v>775</v>
      </c>
      <c r="D484" t="s">
        <v>749</v>
      </c>
    </row>
    <row r="485" spans="1:6" x14ac:dyDescent="0.35">
      <c r="B485" t="s">
        <v>272</v>
      </c>
      <c r="C485" t="s">
        <v>559</v>
      </c>
      <c r="D485" t="s">
        <v>749</v>
      </c>
    </row>
    <row r="486" spans="1:6" x14ac:dyDescent="0.35">
      <c r="A486" s="151" t="s">
        <v>177</v>
      </c>
      <c r="B486" s="151"/>
      <c r="C486" s="151" t="s">
        <v>178</v>
      </c>
      <c r="D486" s="151" t="s">
        <v>250</v>
      </c>
      <c r="E486" s="151" t="s">
        <v>129</v>
      </c>
      <c r="F486" s="151" t="s">
        <v>251</v>
      </c>
    </row>
    <row r="487" spans="1:6" x14ac:dyDescent="0.35">
      <c r="B487" t="s">
        <v>257</v>
      </c>
      <c r="C487" t="s">
        <v>789</v>
      </c>
      <c r="D487" t="s">
        <v>254</v>
      </c>
    </row>
    <row r="488" spans="1:6" x14ac:dyDescent="0.35">
      <c r="B488" t="s">
        <v>258</v>
      </c>
      <c r="C488" t="s">
        <v>262</v>
      </c>
      <c r="D488" t="s">
        <v>254</v>
      </c>
    </row>
    <row r="489" spans="1:6" x14ac:dyDescent="0.35">
      <c r="B489" t="s">
        <v>259</v>
      </c>
      <c r="C489" t="s">
        <v>263</v>
      </c>
      <c r="D489" t="s">
        <v>254</v>
      </c>
    </row>
    <row r="490" spans="1:6" x14ac:dyDescent="0.35">
      <c r="B490" t="s">
        <v>264</v>
      </c>
      <c r="C490" t="s">
        <v>265</v>
      </c>
      <c r="D490" t="s">
        <v>254</v>
      </c>
    </row>
    <row r="491" spans="1:6" x14ac:dyDescent="0.35">
      <c r="B491" t="s">
        <v>266</v>
      </c>
      <c r="C491" t="s">
        <v>267</v>
      </c>
      <c r="D491" t="s">
        <v>254</v>
      </c>
    </row>
    <row r="492" spans="1:6" x14ac:dyDescent="0.35">
      <c r="B492" t="s">
        <v>268</v>
      </c>
      <c r="C492" t="s">
        <v>269</v>
      </c>
      <c r="D492" t="s">
        <v>254</v>
      </c>
    </row>
    <row r="493" spans="1:6" x14ac:dyDescent="0.35">
      <c r="B493" t="s">
        <v>270</v>
      </c>
      <c r="C493" t="s">
        <v>271</v>
      </c>
      <c r="D493" t="s">
        <v>254</v>
      </c>
    </row>
    <row r="494" spans="1:6" x14ac:dyDescent="0.35">
      <c r="B494" t="s">
        <v>272</v>
      </c>
      <c r="C494" t="s">
        <v>273</v>
      </c>
      <c r="D494" t="s">
        <v>254</v>
      </c>
    </row>
    <row r="495" spans="1:6" x14ac:dyDescent="0.35">
      <c r="B495" t="s">
        <v>274</v>
      </c>
      <c r="C495" t="s">
        <v>275</v>
      </c>
      <c r="D495" t="s">
        <v>254</v>
      </c>
    </row>
    <row r="496" spans="1:6" x14ac:dyDescent="0.35">
      <c r="B496" t="s">
        <v>276</v>
      </c>
      <c r="C496" t="s">
        <v>790</v>
      </c>
      <c r="D496" t="s">
        <v>254</v>
      </c>
    </row>
    <row r="497" spans="1:6" x14ac:dyDescent="0.35">
      <c r="A497" s="151" t="s">
        <v>791</v>
      </c>
      <c r="B497" s="151"/>
      <c r="C497" s="151" t="s">
        <v>792</v>
      </c>
      <c r="D497" s="151" t="s">
        <v>747</v>
      </c>
      <c r="E497" s="151" t="s">
        <v>748</v>
      </c>
      <c r="F497" s="151"/>
    </row>
    <row r="498" spans="1:6" x14ac:dyDescent="0.35">
      <c r="B498" t="s">
        <v>257</v>
      </c>
      <c r="C498" t="s">
        <v>771</v>
      </c>
      <c r="D498" t="s">
        <v>749</v>
      </c>
    </row>
    <row r="499" spans="1:6" x14ac:dyDescent="0.35">
      <c r="B499" t="s">
        <v>258</v>
      </c>
      <c r="C499" t="s">
        <v>772</v>
      </c>
      <c r="D499" t="s">
        <v>749</v>
      </c>
    </row>
    <row r="500" spans="1:6" x14ac:dyDescent="0.35">
      <c r="B500" t="s">
        <v>259</v>
      </c>
      <c r="C500" t="s">
        <v>773</v>
      </c>
      <c r="D500" t="s">
        <v>749</v>
      </c>
    </row>
    <row r="501" spans="1:6" x14ac:dyDescent="0.35">
      <c r="B501" t="s">
        <v>266</v>
      </c>
      <c r="C501" t="s">
        <v>774</v>
      </c>
      <c r="D501" t="s">
        <v>749</v>
      </c>
    </row>
    <row r="502" spans="1:6" x14ac:dyDescent="0.35">
      <c r="B502" t="s">
        <v>270</v>
      </c>
      <c r="C502" t="s">
        <v>775</v>
      </c>
      <c r="D502" t="s">
        <v>749</v>
      </c>
    </row>
    <row r="503" spans="1:6" x14ac:dyDescent="0.35">
      <c r="B503" t="s">
        <v>272</v>
      </c>
      <c r="C503" t="s">
        <v>559</v>
      </c>
      <c r="D503" t="s">
        <v>749</v>
      </c>
    </row>
    <row r="504" spans="1:6" x14ac:dyDescent="0.35">
      <c r="A504" s="151" t="s">
        <v>180</v>
      </c>
      <c r="B504" s="151"/>
      <c r="C504" s="151" t="s">
        <v>181</v>
      </c>
      <c r="D504" s="151" t="s">
        <v>250</v>
      </c>
      <c r="E504" s="151" t="s">
        <v>793</v>
      </c>
      <c r="F504" s="151" t="s">
        <v>251</v>
      </c>
    </row>
    <row r="505" spans="1:6" x14ac:dyDescent="0.35">
      <c r="B505" t="s">
        <v>257</v>
      </c>
      <c r="C505" t="s">
        <v>794</v>
      </c>
      <c r="D505" t="s">
        <v>254</v>
      </c>
      <c r="E505" t="s">
        <v>261</v>
      </c>
    </row>
    <row r="506" spans="1:6" x14ac:dyDescent="0.35">
      <c r="B506" t="s">
        <v>258</v>
      </c>
      <c r="C506" t="s">
        <v>262</v>
      </c>
      <c r="D506" t="s">
        <v>254</v>
      </c>
      <c r="E506" t="s">
        <v>262</v>
      </c>
    </row>
    <row r="507" spans="1:6" x14ac:dyDescent="0.35">
      <c r="B507" t="s">
        <v>259</v>
      </c>
      <c r="C507" t="s">
        <v>263</v>
      </c>
      <c r="D507" t="s">
        <v>254</v>
      </c>
      <c r="E507" t="s">
        <v>263</v>
      </c>
    </row>
    <row r="508" spans="1:6" x14ac:dyDescent="0.35">
      <c r="B508" t="s">
        <v>264</v>
      </c>
      <c r="C508" t="s">
        <v>265</v>
      </c>
      <c r="D508" t="s">
        <v>254</v>
      </c>
      <c r="E508" t="s">
        <v>265</v>
      </c>
    </row>
    <row r="509" spans="1:6" x14ac:dyDescent="0.35">
      <c r="B509" t="s">
        <v>266</v>
      </c>
      <c r="C509" t="s">
        <v>267</v>
      </c>
      <c r="D509" t="s">
        <v>254</v>
      </c>
      <c r="E509" t="s">
        <v>267</v>
      </c>
    </row>
    <row r="510" spans="1:6" x14ac:dyDescent="0.35">
      <c r="B510" t="s">
        <v>268</v>
      </c>
      <c r="C510" t="s">
        <v>269</v>
      </c>
      <c r="D510" t="s">
        <v>254</v>
      </c>
      <c r="E510" t="s">
        <v>269</v>
      </c>
    </row>
    <row r="511" spans="1:6" x14ac:dyDescent="0.35">
      <c r="B511" t="s">
        <v>270</v>
      </c>
      <c r="C511" t="s">
        <v>271</v>
      </c>
      <c r="D511" t="s">
        <v>254</v>
      </c>
      <c r="E511" t="s">
        <v>271</v>
      </c>
    </row>
    <row r="512" spans="1:6" x14ac:dyDescent="0.35">
      <c r="B512" t="s">
        <v>272</v>
      </c>
      <c r="C512" t="s">
        <v>273</v>
      </c>
      <c r="D512" t="s">
        <v>254</v>
      </c>
      <c r="E512" t="s">
        <v>273</v>
      </c>
    </row>
    <row r="513" spans="1:6" x14ac:dyDescent="0.35">
      <c r="B513" t="s">
        <v>274</v>
      </c>
      <c r="C513" t="s">
        <v>275</v>
      </c>
      <c r="D513" t="s">
        <v>254</v>
      </c>
      <c r="E513" t="s">
        <v>275</v>
      </c>
    </row>
    <row r="514" spans="1:6" x14ac:dyDescent="0.35">
      <c r="B514" t="s">
        <v>276</v>
      </c>
      <c r="C514" t="s">
        <v>795</v>
      </c>
      <c r="D514" t="s">
        <v>254</v>
      </c>
      <c r="E514" t="s">
        <v>277</v>
      </c>
    </row>
    <row r="515" spans="1:6" x14ac:dyDescent="0.35">
      <c r="A515" s="151" t="s">
        <v>796</v>
      </c>
      <c r="B515" s="151"/>
      <c r="C515" s="151" t="s">
        <v>797</v>
      </c>
      <c r="D515" s="151" t="s">
        <v>747</v>
      </c>
      <c r="E515" s="151" t="s">
        <v>748</v>
      </c>
      <c r="F515" s="151"/>
    </row>
    <row r="516" spans="1:6" x14ac:dyDescent="0.35">
      <c r="B516" t="s">
        <v>257</v>
      </c>
      <c r="C516" t="s">
        <v>771</v>
      </c>
      <c r="D516" t="s">
        <v>749</v>
      </c>
    </row>
    <row r="517" spans="1:6" x14ac:dyDescent="0.35">
      <c r="B517" t="s">
        <v>258</v>
      </c>
      <c r="C517" t="s">
        <v>772</v>
      </c>
      <c r="D517" t="s">
        <v>749</v>
      </c>
    </row>
    <row r="518" spans="1:6" x14ac:dyDescent="0.35">
      <c r="B518" t="s">
        <v>259</v>
      </c>
      <c r="C518" t="s">
        <v>773</v>
      </c>
      <c r="D518" t="s">
        <v>749</v>
      </c>
    </row>
    <row r="519" spans="1:6" x14ac:dyDescent="0.35">
      <c r="B519" t="s">
        <v>266</v>
      </c>
      <c r="C519" t="s">
        <v>774</v>
      </c>
      <c r="D519" t="s">
        <v>749</v>
      </c>
    </row>
    <row r="520" spans="1:6" x14ac:dyDescent="0.35">
      <c r="B520" t="s">
        <v>270</v>
      </c>
      <c r="C520" t="s">
        <v>775</v>
      </c>
      <c r="D520" t="s">
        <v>749</v>
      </c>
    </row>
    <row r="521" spans="1:6" x14ac:dyDescent="0.35">
      <c r="B521" t="s">
        <v>272</v>
      </c>
      <c r="C521" t="s">
        <v>559</v>
      </c>
      <c r="D521" t="s">
        <v>749</v>
      </c>
    </row>
    <row r="522" spans="1:6" x14ac:dyDescent="0.35">
      <c r="A522" s="151" t="s">
        <v>184</v>
      </c>
      <c r="B522" s="151"/>
      <c r="C522" s="151" t="s">
        <v>185</v>
      </c>
      <c r="D522" s="151" t="s">
        <v>250</v>
      </c>
      <c r="E522" s="151" t="s">
        <v>793</v>
      </c>
      <c r="F522" s="151" t="s">
        <v>251</v>
      </c>
    </row>
    <row r="523" spans="1:6" x14ac:dyDescent="0.35">
      <c r="B523" t="s">
        <v>257</v>
      </c>
      <c r="C523" t="s">
        <v>798</v>
      </c>
      <c r="D523" t="s">
        <v>254</v>
      </c>
      <c r="E523" t="s">
        <v>261</v>
      </c>
    </row>
    <row r="524" spans="1:6" x14ac:dyDescent="0.35">
      <c r="B524" t="s">
        <v>258</v>
      </c>
      <c r="C524" t="s">
        <v>262</v>
      </c>
      <c r="D524" t="s">
        <v>254</v>
      </c>
      <c r="E524" t="s">
        <v>262</v>
      </c>
    </row>
    <row r="525" spans="1:6" x14ac:dyDescent="0.35">
      <c r="B525" t="s">
        <v>259</v>
      </c>
      <c r="C525" t="s">
        <v>263</v>
      </c>
      <c r="D525" t="s">
        <v>254</v>
      </c>
      <c r="E525" t="s">
        <v>263</v>
      </c>
    </row>
    <row r="526" spans="1:6" x14ac:dyDescent="0.35">
      <c r="B526" t="s">
        <v>264</v>
      </c>
      <c r="C526" t="s">
        <v>265</v>
      </c>
      <c r="D526" t="s">
        <v>254</v>
      </c>
      <c r="E526" t="s">
        <v>265</v>
      </c>
    </row>
    <row r="527" spans="1:6" x14ac:dyDescent="0.35">
      <c r="B527" t="s">
        <v>266</v>
      </c>
      <c r="C527" t="s">
        <v>267</v>
      </c>
      <c r="D527" t="s">
        <v>254</v>
      </c>
      <c r="E527" t="s">
        <v>267</v>
      </c>
    </row>
    <row r="528" spans="1:6" x14ac:dyDescent="0.35">
      <c r="B528" t="s">
        <v>268</v>
      </c>
      <c r="C528" t="s">
        <v>269</v>
      </c>
      <c r="D528" t="s">
        <v>254</v>
      </c>
      <c r="E528" t="s">
        <v>269</v>
      </c>
    </row>
    <row r="529" spans="1:6" x14ac:dyDescent="0.35">
      <c r="B529" t="s">
        <v>270</v>
      </c>
      <c r="C529" t="s">
        <v>271</v>
      </c>
      <c r="D529" t="s">
        <v>254</v>
      </c>
      <c r="E529" t="s">
        <v>271</v>
      </c>
    </row>
    <row r="530" spans="1:6" x14ac:dyDescent="0.35">
      <c r="B530" t="s">
        <v>272</v>
      </c>
      <c r="C530" t="s">
        <v>273</v>
      </c>
      <c r="D530" t="s">
        <v>254</v>
      </c>
      <c r="E530" t="s">
        <v>273</v>
      </c>
    </row>
    <row r="531" spans="1:6" x14ac:dyDescent="0.35">
      <c r="B531" t="s">
        <v>274</v>
      </c>
      <c r="C531" t="s">
        <v>275</v>
      </c>
      <c r="D531" t="s">
        <v>254</v>
      </c>
      <c r="E531" t="s">
        <v>275</v>
      </c>
    </row>
    <row r="532" spans="1:6" x14ac:dyDescent="0.35">
      <c r="B532" t="s">
        <v>276</v>
      </c>
      <c r="C532" t="s">
        <v>799</v>
      </c>
      <c r="D532" t="s">
        <v>254</v>
      </c>
      <c r="E532" t="s">
        <v>277</v>
      </c>
    </row>
    <row r="533" spans="1:6" x14ac:dyDescent="0.35">
      <c r="A533" s="151" t="s">
        <v>800</v>
      </c>
      <c r="B533" s="151"/>
      <c r="C533" s="151" t="s">
        <v>801</v>
      </c>
      <c r="D533" s="151" t="s">
        <v>747</v>
      </c>
      <c r="E533" s="151" t="s">
        <v>748</v>
      </c>
      <c r="F533" s="151"/>
    </row>
    <row r="534" spans="1:6" x14ac:dyDescent="0.35">
      <c r="B534" t="s">
        <v>257</v>
      </c>
      <c r="C534" t="s">
        <v>771</v>
      </c>
      <c r="D534" t="s">
        <v>749</v>
      </c>
    </row>
    <row r="535" spans="1:6" x14ac:dyDescent="0.35">
      <c r="B535" t="s">
        <v>258</v>
      </c>
      <c r="C535" t="s">
        <v>772</v>
      </c>
      <c r="D535" t="s">
        <v>749</v>
      </c>
    </row>
    <row r="536" spans="1:6" x14ac:dyDescent="0.35">
      <c r="B536" t="s">
        <v>259</v>
      </c>
      <c r="C536" t="s">
        <v>773</v>
      </c>
      <c r="D536" t="s">
        <v>749</v>
      </c>
    </row>
    <row r="537" spans="1:6" x14ac:dyDescent="0.35">
      <c r="B537" t="s">
        <v>266</v>
      </c>
      <c r="C537" t="s">
        <v>774</v>
      </c>
      <c r="D537" t="s">
        <v>749</v>
      </c>
    </row>
    <row r="538" spans="1:6" x14ac:dyDescent="0.35">
      <c r="B538" t="s">
        <v>270</v>
      </c>
      <c r="C538" t="s">
        <v>775</v>
      </c>
      <c r="D538" t="s">
        <v>749</v>
      </c>
    </row>
    <row r="539" spans="1:6" x14ac:dyDescent="0.35">
      <c r="B539" t="s">
        <v>272</v>
      </c>
      <c r="C539" t="s">
        <v>559</v>
      </c>
      <c r="D539" t="s">
        <v>749</v>
      </c>
    </row>
    <row r="540" spans="1:6" x14ac:dyDescent="0.35">
      <c r="A540" s="151" t="s">
        <v>186</v>
      </c>
      <c r="B540" s="151"/>
      <c r="C540" s="151" t="s">
        <v>187</v>
      </c>
      <c r="D540" s="151" t="s">
        <v>250</v>
      </c>
      <c r="E540" s="151" t="s">
        <v>793</v>
      </c>
      <c r="F540" s="151" t="s">
        <v>251</v>
      </c>
    </row>
    <row r="541" spans="1:6" x14ac:dyDescent="0.35">
      <c r="B541" t="s">
        <v>257</v>
      </c>
      <c r="C541" t="s">
        <v>802</v>
      </c>
      <c r="D541" t="s">
        <v>254</v>
      </c>
      <c r="E541" t="s">
        <v>261</v>
      </c>
    </row>
    <row r="542" spans="1:6" x14ac:dyDescent="0.35">
      <c r="B542" t="s">
        <v>258</v>
      </c>
      <c r="C542" t="s">
        <v>261</v>
      </c>
      <c r="D542" t="s">
        <v>254</v>
      </c>
      <c r="E542" t="s">
        <v>262</v>
      </c>
    </row>
    <row r="543" spans="1:6" x14ac:dyDescent="0.35">
      <c r="B543" t="s">
        <v>259</v>
      </c>
      <c r="C543" t="s">
        <v>262</v>
      </c>
      <c r="D543" t="s">
        <v>254</v>
      </c>
      <c r="E543" t="s">
        <v>263</v>
      </c>
    </row>
    <row r="544" spans="1:6" x14ac:dyDescent="0.35">
      <c r="B544" t="s">
        <v>264</v>
      </c>
      <c r="C544" t="s">
        <v>263</v>
      </c>
      <c r="D544" t="s">
        <v>254</v>
      </c>
      <c r="E544" t="s">
        <v>265</v>
      </c>
    </row>
    <row r="545" spans="1:6" x14ac:dyDescent="0.35">
      <c r="B545" t="s">
        <v>266</v>
      </c>
      <c r="C545" t="s">
        <v>265</v>
      </c>
      <c r="D545" t="s">
        <v>254</v>
      </c>
      <c r="E545" t="s">
        <v>267</v>
      </c>
    </row>
    <row r="546" spans="1:6" x14ac:dyDescent="0.35">
      <c r="B546" t="s">
        <v>268</v>
      </c>
      <c r="C546" t="s">
        <v>267</v>
      </c>
      <c r="D546" t="s">
        <v>254</v>
      </c>
      <c r="E546" t="s">
        <v>269</v>
      </c>
    </row>
    <row r="547" spans="1:6" x14ac:dyDescent="0.35">
      <c r="B547" t="s">
        <v>270</v>
      </c>
      <c r="C547" t="s">
        <v>269</v>
      </c>
      <c r="D547" t="s">
        <v>254</v>
      </c>
      <c r="E547" t="s">
        <v>271</v>
      </c>
    </row>
    <row r="548" spans="1:6" x14ac:dyDescent="0.35">
      <c r="B548" t="s">
        <v>272</v>
      </c>
      <c r="C548" t="s">
        <v>271</v>
      </c>
      <c r="D548" t="s">
        <v>254</v>
      </c>
      <c r="E548" t="s">
        <v>273</v>
      </c>
    </row>
    <row r="549" spans="1:6" x14ac:dyDescent="0.35">
      <c r="B549" t="s">
        <v>274</v>
      </c>
      <c r="C549" t="s">
        <v>273</v>
      </c>
      <c r="D549" t="s">
        <v>254</v>
      </c>
      <c r="E549" t="s">
        <v>275</v>
      </c>
    </row>
    <row r="550" spans="1:6" x14ac:dyDescent="0.35">
      <c r="B550" t="s">
        <v>276</v>
      </c>
      <c r="C550" t="s">
        <v>275</v>
      </c>
      <c r="D550" t="s">
        <v>254</v>
      </c>
      <c r="E550" t="s">
        <v>277</v>
      </c>
    </row>
    <row r="551" spans="1:6" x14ac:dyDescent="0.35">
      <c r="B551" t="s">
        <v>278</v>
      </c>
      <c r="C551" t="s">
        <v>803</v>
      </c>
      <c r="D551" t="s">
        <v>254</v>
      </c>
      <c r="E551" t="s">
        <v>279</v>
      </c>
    </row>
    <row r="552" spans="1:6" x14ac:dyDescent="0.35">
      <c r="A552" s="151" t="s">
        <v>804</v>
      </c>
      <c r="B552" s="151"/>
      <c r="C552" s="151" t="s">
        <v>805</v>
      </c>
      <c r="D552" s="151" t="s">
        <v>747</v>
      </c>
      <c r="E552" s="151" t="s">
        <v>748</v>
      </c>
      <c r="F552" s="151"/>
    </row>
    <row r="553" spans="1:6" x14ac:dyDescent="0.35">
      <c r="B553" t="s">
        <v>257</v>
      </c>
      <c r="C553" t="s">
        <v>771</v>
      </c>
      <c r="D553" t="s">
        <v>749</v>
      </c>
    </row>
    <row r="554" spans="1:6" x14ac:dyDescent="0.35">
      <c r="B554" t="s">
        <v>258</v>
      </c>
      <c r="C554" t="s">
        <v>772</v>
      </c>
      <c r="D554" t="s">
        <v>749</v>
      </c>
    </row>
    <row r="555" spans="1:6" x14ac:dyDescent="0.35">
      <c r="B555" t="s">
        <v>259</v>
      </c>
      <c r="C555" t="s">
        <v>773</v>
      </c>
      <c r="D555" t="s">
        <v>749</v>
      </c>
    </row>
    <row r="556" spans="1:6" x14ac:dyDescent="0.35">
      <c r="B556" t="s">
        <v>266</v>
      </c>
      <c r="C556" t="s">
        <v>774</v>
      </c>
      <c r="D556" t="s">
        <v>749</v>
      </c>
    </row>
    <row r="557" spans="1:6" x14ac:dyDescent="0.35">
      <c r="B557" t="s">
        <v>270</v>
      </c>
      <c r="C557" t="s">
        <v>775</v>
      </c>
      <c r="D557" t="s">
        <v>749</v>
      </c>
    </row>
    <row r="558" spans="1:6" x14ac:dyDescent="0.35">
      <c r="B558" t="s">
        <v>272</v>
      </c>
      <c r="C558" t="s">
        <v>559</v>
      </c>
      <c r="D558" t="s">
        <v>749</v>
      </c>
    </row>
    <row r="559" spans="1:6" x14ac:dyDescent="0.35">
      <c r="A559" s="151" t="s">
        <v>189</v>
      </c>
      <c r="B559" s="151"/>
      <c r="C559" s="151" t="s">
        <v>190</v>
      </c>
      <c r="D559" s="151" t="s">
        <v>250</v>
      </c>
      <c r="E559" s="151" t="s">
        <v>137</v>
      </c>
      <c r="F559" s="151" t="s">
        <v>507</v>
      </c>
    </row>
    <row r="560" spans="1:6" x14ac:dyDescent="0.35">
      <c r="B560" t="s">
        <v>257</v>
      </c>
      <c r="C560" t="s">
        <v>806</v>
      </c>
      <c r="D560" t="s">
        <v>254</v>
      </c>
    </row>
    <row r="561" spans="2:4" x14ac:dyDescent="0.35">
      <c r="B561" t="s">
        <v>258</v>
      </c>
      <c r="C561" t="s">
        <v>807</v>
      </c>
      <c r="D561" t="s">
        <v>254</v>
      </c>
    </row>
    <row r="562" spans="2:4" x14ac:dyDescent="0.35">
      <c r="B562" t="s">
        <v>259</v>
      </c>
      <c r="C562" t="s">
        <v>808</v>
      </c>
      <c r="D562" t="s">
        <v>254</v>
      </c>
    </row>
    <row r="563" spans="2:4" x14ac:dyDescent="0.35">
      <c r="B563" t="s">
        <v>264</v>
      </c>
      <c r="C563" t="s">
        <v>809</v>
      </c>
      <c r="D563" t="s">
        <v>254</v>
      </c>
    </row>
    <row r="564" spans="2:4" x14ac:dyDescent="0.35">
      <c r="B564" t="s">
        <v>266</v>
      </c>
      <c r="C564" t="s">
        <v>810</v>
      </c>
      <c r="D564" t="s">
        <v>254</v>
      </c>
    </row>
    <row r="565" spans="2:4" x14ac:dyDescent="0.35">
      <c r="B565" t="s">
        <v>268</v>
      </c>
      <c r="C565" t="s">
        <v>811</v>
      </c>
      <c r="D565" t="s">
        <v>254</v>
      </c>
    </row>
    <row r="566" spans="2:4" x14ac:dyDescent="0.35">
      <c r="B566" t="s">
        <v>272</v>
      </c>
      <c r="C566" t="s">
        <v>812</v>
      </c>
      <c r="D566" t="s">
        <v>254</v>
      </c>
    </row>
    <row r="567" spans="2:4" x14ac:dyDescent="0.35">
      <c r="B567" t="s">
        <v>274</v>
      </c>
      <c r="C567" t="s">
        <v>813</v>
      </c>
      <c r="D567" t="s">
        <v>254</v>
      </c>
    </row>
    <row r="568" spans="2:4" x14ac:dyDescent="0.35">
      <c r="B568" t="s">
        <v>276</v>
      </c>
      <c r="C568" t="s">
        <v>814</v>
      </c>
      <c r="D568" t="s">
        <v>254</v>
      </c>
    </row>
    <row r="569" spans="2:4" x14ac:dyDescent="0.35">
      <c r="B569" t="s">
        <v>278</v>
      </c>
      <c r="C569" t="s">
        <v>815</v>
      </c>
      <c r="D569" t="s">
        <v>254</v>
      </c>
    </row>
    <row r="570" spans="2:4" x14ac:dyDescent="0.35">
      <c r="B570" t="s">
        <v>280</v>
      </c>
      <c r="C570" t="s">
        <v>816</v>
      </c>
      <c r="D570" t="s">
        <v>254</v>
      </c>
    </row>
    <row r="571" spans="2:4" x14ac:dyDescent="0.35">
      <c r="B571" t="s">
        <v>282</v>
      </c>
      <c r="C571" t="s">
        <v>817</v>
      </c>
      <c r="D571" t="s">
        <v>254</v>
      </c>
    </row>
    <row r="572" spans="2:4" x14ac:dyDescent="0.35">
      <c r="B572" t="s">
        <v>284</v>
      </c>
      <c r="C572" t="s">
        <v>818</v>
      </c>
      <c r="D572" t="s">
        <v>254</v>
      </c>
    </row>
    <row r="573" spans="2:4" x14ac:dyDescent="0.35">
      <c r="B573" t="s">
        <v>286</v>
      </c>
      <c r="C573" t="s">
        <v>819</v>
      </c>
      <c r="D573" t="s">
        <v>254</v>
      </c>
    </row>
    <row r="574" spans="2:4" x14ac:dyDescent="0.35">
      <c r="B574" t="s">
        <v>288</v>
      </c>
      <c r="C574" t="s">
        <v>820</v>
      </c>
      <c r="D574" t="s">
        <v>254</v>
      </c>
    </row>
    <row r="575" spans="2:4" x14ac:dyDescent="0.35">
      <c r="B575" t="s">
        <v>290</v>
      </c>
      <c r="C575" t="s">
        <v>821</v>
      </c>
      <c r="D575" t="s">
        <v>254</v>
      </c>
    </row>
    <row r="576" spans="2:4" x14ac:dyDescent="0.35">
      <c r="B576" t="s">
        <v>292</v>
      </c>
      <c r="C576" t="s">
        <v>822</v>
      </c>
      <c r="D576" t="s">
        <v>254</v>
      </c>
    </row>
    <row r="577" spans="1:6" x14ac:dyDescent="0.35">
      <c r="B577" t="s">
        <v>454</v>
      </c>
      <c r="C577" t="s">
        <v>546</v>
      </c>
      <c r="D577" t="s">
        <v>254</v>
      </c>
    </row>
    <row r="578" spans="1:6" x14ac:dyDescent="0.35">
      <c r="A578" s="151" t="s">
        <v>823</v>
      </c>
      <c r="B578" s="151"/>
      <c r="C578" s="151" t="s">
        <v>824</v>
      </c>
      <c r="D578" s="151" t="s">
        <v>747</v>
      </c>
      <c r="E578" s="151" t="s">
        <v>748</v>
      </c>
      <c r="F578" s="151"/>
    </row>
    <row r="579" spans="1:6" x14ac:dyDescent="0.35">
      <c r="B579" t="s">
        <v>257</v>
      </c>
      <c r="C579" t="s">
        <v>771</v>
      </c>
      <c r="D579" t="s">
        <v>749</v>
      </c>
    </row>
    <row r="580" spans="1:6" x14ac:dyDescent="0.35">
      <c r="B580" t="s">
        <v>258</v>
      </c>
      <c r="C580" t="s">
        <v>772</v>
      </c>
      <c r="D580" t="s">
        <v>749</v>
      </c>
    </row>
    <row r="581" spans="1:6" x14ac:dyDescent="0.35">
      <c r="B581" t="s">
        <v>259</v>
      </c>
      <c r="C581" t="s">
        <v>773</v>
      </c>
      <c r="D581" t="s">
        <v>749</v>
      </c>
    </row>
    <row r="582" spans="1:6" x14ac:dyDescent="0.35">
      <c r="B582" t="s">
        <v>266</v>
      </c>
      <c r="C582" t="s">
        <v>774</v>
      </c>
      <c r="D582" t="s">
        <v>749</v>
      </c>
    </row>
    <row r="583" spans="1:6" x14ac:dyDescent="0.35">
      <c r="B583" t="s">
        <v>270</v>
      </c>
      <c r="C583" t="s">
        <v>775</v>
      </c>
      <c r="D583" t="s">
        <v>749</v>
      </c>
    </row>
    <row r="584" spans="1:6" x14ac:dyDescent="0.35">
      <c r="B584" t="s">
        <v>272</v>
      </c>
      <c r="C584" t="s">
        <v>559</v>
      </c>
      <c r="D584" t="s">
        <v>749</v>
      </c>
    </row>
    <row r="585" spans="1:6" x14ac:dyDescent="0.35">
      <c r="A585" s="151" t="s">
        <v>191</v>
      </c>
      <c r="B585" s="151"/>
      <c r="C585" s="151" t="s">
        <v>192</v>
      </c>
      <c r="D585" s="151" t="s">
        <v>250</v>
      </c>
      <c r="E585" s="151" t="s">
        <v>137</v>
      </c>
      <c r="F585" s="151" t="s">
        <v>507</v>
      </c>
    </row>
    <row r="586" spans="1:6" x14ac:dyDescent="0.35">
      <c r="B586" t="s">
        <v>257</v>
      </c>
      <c r="C586" t="s">
        <v>825</v>
      </c>
      <c r="D586" t="s">
        <v>254</v>
      </c>
    </row>
    <row r="587" spans="1:6" x14ac:dyDescent="0.35">
      <c r="B587" t="s">
        <v>258</v>
      </c>
      <c r="C587" t="s">
        <v>826</v>
      </c>
      <c r="D587" t="s">
        <v>254</v>
      </c>
    </row>
    <row r="588" spans="1:6" x14ac:dyDescent="0.35">
      <c r="B588" t="s">
        <v>264</v>
      </c>
      <c r="C588" t="s">
        <v>827</v>
      </c>
      <c r="D588" t="s">
        <v>254</v>
      </c>
    </row>
    <row r="589" spans="1:6" x14ac:dyDescent="0.35">
      <c r="B589" t="s">
        <v>268</v>
      </c>
      <c r="C589" t="s">
        <v>828</v>
      </c>
      <c r="D589" t="s">
        <v>254</v>
      </c>
    </row>
    <row r="590" spans="1:6" x14ac:dyDescent="0.35">
      <c r="B590" t="s">
        <v>270</v>
      </c>
      <c r="C590" t="s">
        <v>829</v>
      </c>
      <c r="D590" t="s">
        <v>254</v>
      </c>
    </row>
    <row r="591" spans="1:6" x14ac:dyDescent="0.35">
      <c r="B591" t="s">
        <v>272</v>
      </c>
      <c r="C591" t="s">
        <v>830</v>
      </c>
      <c r="D591" t="s">
        <v>254</v>
      </c>
    </row>
    <row r="592" spans="1:6" x14ac:dyDescent="0.35">
      <c r="B592" t="s">
        <v>274</v>
      </c>
      <c r="C592" t="s">
        <v>831</v>
      </c>
      <c r="D592" t="s">
        <v>254</v>
      </c>
    </row>
    <row r="593" spans="1:6" x14ac:dyDescent="0.35">
      <c r="B593" t="s">
        <v>276</v>
      </c>
      <c r="C593" t="s">
        <v>832</v>
      </c>
      <c r="D593" t="s">
        <v>254</v>
      </c>
    </row>
    <row r="594" spans="1:6" x14ac:dyDescent="0.35">
      <c r="B594" t="s">
        <v>278</v>
      </c>
      <c r="C594" t="s">
        <v>833</v>
      </c>
      <c r="D594" t="s">
        <v>254</v>
      </c>
    </row>
    <row r="595" spans="1:6" x14ac:dyDescent="0.35">
      <c r="B595" t="s">
        <v>280</v>
      </c>
      <c r="C595" t="s">
        <v>834</v>
      </c>
      <c r="D595" t="s">
        <v>254</v>
      </c>
    </row>
    <row r="596" spans="1:6" x14ac:dyDescent="0.35">
      <c r="B596" t="s">
        <v>282</v>
      </c>
      <c r="C596" t="s">
        <v>835</v>
      </c>
      <c r="D596" t="s">
        <v>254</v>
      </c>
    </row>
    <row r="597" spans="1:6" x14ac:dyDescent="0.35">
      <c r="B597" t="s">
        <v>284</v>
      </c>
      <c r="C597" t="s">
        <v>836</v>
      </c>
      <c r="D597" t="s">
        <v>254</v>
      </c>
    </row>
    <row r="598" spans="1:6" x14ac:dyDescent="0.35">
      <c r="B598" t="s">
        <v>286</v>
      </c>
      <c r="C598" t="s">
        <v>837</v>
      </c>
      <c r="D598" t="s">
        <v>254</v>
      </c>
    </row>
    <row r="599" spans="1:6" x14ac:dyDescent="0.35">
      <c r="B599" t="s">
        <v>288</v>
      </c>
      <c r="C599" t="s">
        <v>838</v>
      </c>
      <c r="D599" t="s">
        <v>254</v>
      </c>
    </row>
    <row r="600" spans="1:6" x14ac:dyDescent="0.35">
      <c r="B600" t="s">
        <v>290</v>
      </c>
      <c r="C600" t="s">
        <v>839</v>
      </c>
      <c r="D600" t="s">
        <v>254</v>
      </c>
    </row>
    <row r="601" spans="1:6" x14ac:dyDescent="0.35">
      <c r="B601" t="s">
        <v>292</v>
      </c>
      <c r="C601" t="s">
        <v>840</v>
      </c>
      <c r="D601" t="s">
        <v>254</v>
      </c>
    </row>
    <row r="602" spans="1:6" x14ac:dyDescent="0.35">
      <c r="B602" t="s">
        <v>294</v>
      </c>
      <c r="C602" t="s">
        <v>841</v>
      </c>
      <c r="D602" t="s">
        <v>254</v>
      </c>
    </row>
    <row r="603" spans="1:6" x14ac:dyDescent="0.35">
      <c r="B603" t="s">
        <v>296</v>
      </c>
      <c r="C603" t="s">
        <v>842</v>
      </c>
      <c r="D603" t="s">
        <v>254</v>
      </c>
    </row>
    <row r="604" spans="1:6" x14ac:dyDescent="0.35">
      <c r="B604" t="s">
        <v>452</v>
      </c>
      <c r="C604" t="s">
        <v>571</v>
      </c>
      <c r="D604" t="s">
        <v>254</v>
      </c>
    </row>
    <row r="605" spans="1:6" x14ac:dyDescent="0.35">
      <c r="B605" t="s">
        <v>454</v>
      </c>
      <c r="C605" t="s">
        <v>843</v>
      </c>
      <c r="D605" t="s">
        <v>254</v>
      </c>
    </row>
    <row r="606" spans="1:6" x14ac:dyDescent="0.35">
      <c r="A606" s="151" t="s">
        <v>844</v>
      </c>
      <c r="B606" s="151"/>
      <c r="C606" s="151" t="s">
        <v>845</v>
      </c>
      <c r="D606" s="151" t="s">
        <v>747</v>
      </c>
      <c r="E606" s="151" t="s">
        <v>748</v>
      </c>
      <c r="F606" s="151"/>
    </row>
    <row r="607" spans="1:6" x14ac:dyDescent="0.35">
      <c r="B607" t="s">
        <v>257</v>
      </c>
      <c r="C607" t="s">
        <v>771</v>
      </c>
      <c r="D607" t="s">
        <v>749</v>
      </c>
    </row>
    <row r="608" spans="1:6" x14ac:dyDescent="0.35">
      <c r="B608" t="s">
        <v>258</v>
      </c>
      <c r="C608" t="s">
        <v>772</v>
      </c>
      <c r="D608" t="s">
        <v>749</v>
      </c>
    </row>
    <row r="609" spans="1:6" x14ac:dyDescent="0.35">
      <c r="B609" t="s">
        <v>259</v>
      </c>
      <c r="C609" t="s">
        <v>773</v>
      </c>
      <c r="D609" t="s">
        <v>749</v>
      </c>
    </row>
    <row r="610" spans="1:6" x14ac:dyDescent="0.35">
      <c r="B610" t="s">
        <v>266</v>
      </c>
      <c r="C610" t="s">
        <v>774</v>
      </c>
      <c r="D610" t="s">
        <v>749</v>
      </c>
    </row>
    <row r="611" spans="1:6" x14ac:dyDescent="0.35">
      <c r="B611" t="s">
        <v>270</v>
      </c>
      <c r="C611" t="s">
        <v>775</v>
      </c>
      <c r="D611" t="s">
        <v>749</v>
      </c>
    </row>
    <row r="612" spans="1:6" x14ac:dyDescent="0.35">
      <c r="B612" t="s">
        <v>272</v>
      </c>
      <c r="C612" t="s">
        <v>559</v>
      </c>
      <c r="D612" t="s">
        <v>749</v>
      </c>
    </row>
    <row r="613" spans="1:6" x14ac:dyDescent="0.35">
      <c r="A613" s="151" t="s">
        <v>193</v>
      </c>
      <c r="B613" s="151"/>
      <c r="C613" s="151" t="s">
        <v>194</v>
      </c>
      <c r="D613" s="151" t="s">
        <v>250</v>
      </c>
      <c r="E613" s="151" t="s">
        <v>137</v>
      </c>
      <c r="F613" s="151" t="s">
        <v>507</v>
      </c>
    </row>
    <row r="614" spans="1:6" x14ac:dyDescent="0.35">
      <c r="B614" t="s">
        <v>257</v>
      </c>
      <c r="C614" t="s">
        <v>846</v>
      </c>
      <c r="D614" t="s">
        <v>254</v>
      </c>
    </row>
    <row r="615" spans="1:6" x14ac:dyDescent="0.35">
      <c r="B615" t="s">
        <v>258</v>
      </c>
      <c r="C615" t="s">
        <v>847</v>
      </c>
      <c r="D615" t="s">
        <v>254</v>
      </c>
    </row>
    <row r="616" spans="1:6" x14ac:dyDescent="0.35">
      <c r="B616" t="s">
        <v>259</v>
      </c>
      <c r="C616" t="s">
        <v>848</v>
      </c>
      <c r="D616" t="s">
        <v>254</v>
      </c>
    </row>
    <row r="617" spans="1:6" x14ac:dyDescent="0.35">
      <c r="B617" t="s">
        <v>264</v>
      </c>
      <c r="C617" t="s">
        <v>849</v>
      </c>
      <c r="D617" t="s">
        <v>254</v>
      </c>
    </row>
    <row r="618" spans="1:6" x14ac:dyDescent="0.35">
      <c r="B618" t="s">
        <v>266</v>
      </c>
      <c r="C618" t="s">
        <v>850</v>
      </c>
      <c r="D618" t="s">
        <v>254</v>
      </c>
    </row>
    <row r="619" spans="1:6" x14ac:dyDescent="0.35">
      <c r="B619" t="s">
        <v>268</v>
      </c>
      <c r="C619" t="s">
        <v>851</v>
      </c>
      <c r="D619" t="s">
        <v>254</v>
      </c>
    </row>
    <row r="620" spans="1:6" x14ac:dyDescent="0.35">
      <c r="B620" t="s">
        <v>270</v>
      </c>
      <c r="C620" t="s">
        <v>852</v>
      </c>
      <c r="D620" t="s">
        <v>254</v>
      </c>
    </row>
    <row r="621" spans="1:6" x14ac:dyDescent="0.35">
      <c r="B621" t="s">
        <v>454</v>
      </c>
      <c r="C621" t="s">
        <v>853</v>
      </c>
      <c r="D621" t="s">
        <v>254</v>
      </c>
    </row>
    <row r="622" spans="1:6" x14ac:dyDescent="0.35">
      <c r="A622" s="151" t="s">
        <v>854</v>
      </c>
      <c r="B622" s="151"/>
      <c r="C622" s="151" t="s">
        <v>855</v>
      </c>
      <c r="D622" s="151" t="s">
        <v>747</v>
      </c>
      <c r="E622" s="151" t="s">
        <v>748</v>
      </c>
      <c r="F622" s="151"/>
    </row>
    <row r="623" spans="1:6" x14ac:dyDescent="0.35">
      <c r="B623" s="148" t="str">
        <f>HYPERLINK("#'Shared Response Lists'!A2", "List_MONETIZATION")</f>
        <v>List_MONETIZATION</v>
      </c>
      <c r="C623" t="s">
        <v>570</v>
      </c>
      <c r="D623" t="s">
        <v>749</v>
      </c>
    </row>
    <row r="624" spans="1:6" x14ac:dyDescent="0.35">
      <c r="A624" s="151" t="s">
        <v>199</v>
      </c>
      <c r="B624" s="151"/>
      <c r="C624" s="151" t="s">
        <v>200</v>
      </c>
      <c r="D624" s="151" t="s">
        <v>856</v>
      </c>
      <c r="E624" s="151" t="s">
        <v>85</v>
      </c>
      <c r="F624" s="151"/>
    </row>
    <row r="625" spans="1:6" x14ac:dyDescent="0.35">
      <c r="A625" s="151" t="s">
        <v>857</v>
      </c>
      <c r="B625" s="151"/>
      <c r="C625" s="151"/>
      <c r="D625" s="151" t="s">
        <v>747</v>
      </c>
      <c r="E625" s="151" t="s">
        <v>748</v>
      </c>
      <c r="F625" s="151"/>
    </row>
    <row r="626" spans="1:6" x14ac:dyDescent="0.35">
      <c r="B626" s="148" t="str">
        <f>HYPERLINK("#'Shared Response Lists'!A52", "List_platforms_new")</f>
        <v>List_platforms_new</v>
      </c>
      <c r="C626" t="s">
        <v>570</v>
      </c>
      <c r="D626" t="s">
        <v>749</v>
      </c>
    </row>
    <row r="627" spans="1:6" x14ac:dyDescent="0.35">
      <c r="A627" s="151" t="s">
        <v>212</v>
      </c>
      <c r="B627" s="151"/>
      <c r="C627" s="151" t="s">
        <v>213</v>
      </c>
      <c r="D627" s="151" t="s">
        <v>250</v>
      </c>
      <c r="E627" s="151" t="s">
        <v>137</v>
      </c>
      <c r="F627" s="151" t="s">
        <v>507</v>
      </c>
    </row>
    <row r="628" spans="1:6" x14ac:dyDescent="0.35">
      <c r="B628" t="s">
        <v>257</v>
      </c>
      <c r="C628" t="s">
        <v>858</v>
      </c>
      <c r="D628" t="s">
        <v>254</v>
      </c>
    </row>
    <row r="629" spans="1:6" x14ac:dyDescent="0.35">
      <c r="B629" t="s">
        <v>258</v>
      </c>
      <c r="C629" t="s">
        <v>859</v>
      </c>
      <c r="D629" t="s">
        <v>254</v>
      </c>
    </row>
    <row r="630" spans="1:6" x14ac:dyDescent="0.35">
      <c r="B630" t="s">
        <v>259</v>
      </c>
      <c r="C630" t="s">
        <v>860</v>
      </c>
      <c r="D630" t="s">
        <v>254</v>
      </c>
    </row>
    <row r="631" spans="1:6" x14ac:dyDescent="0.35">
      <c r="B631" t="s">
        <v>264</v>
      </c>
      <c r="C631" t="s">
        <v>861</v>
      </c>
      <c r="D631" t="s">
        <v>254</v>
      </c>
    </row>
    <row r="632" spans="1:6" x14ac:dyDescent="0.35">
      <c r="B632" t="s">
        <v>266</v>
      </c>
      <c r="C632" t="s">
        <v>862</v>
      </c>
      <c r="D632" t="s">
        <v>254</v>
      </c>
    </row>
    <row r="633" spans="1:6" x14ac:dyDescent="0.35">
      <c r="B633" t="s">
        <v>268</v>
      </c>
      <c r="C633" t="s">
        <v>863</v>
      </c>
      <c r="D633" t="s">
        <v>254</v>
      </c>
    </row>
    <row r="634" spans="1:6" x14ac:dyDescent="0.35">
      <c r="B634" t="s">
        <v>270</v>
      </c>
      <c r="C634" t="s">
        <v>864</v>
      </c>
      <c r="D634" t="s">
        <v>254</v>
      </c>
    </row>
    <row r="635" spans="1:6" x14ac:dyDescent="0.35">
      <c r="B635" t="s">
        <v>272</v>
      </c>
      <c r="C635" t="s">
        <v>865</v>
      </c>
      <c r="D635" t="s">
        <v>254</v>
      </c>
    </row>
    <row r="636" spans="1:6" x14ac:dyDescent="0.35">
      <c r="B636" t="s">
        <v>274</v>
      </c>
      <c r="C636" t="s">
        <v>866</v>
      </c>
      <c r="D636" t="s">
        <v>254</v>
      </c>
    </row>
    <row r="637" spans="1:6" x14ac:dyDescent="0.35">
      <c r="B637" t="s">
        <v>276</v>
      </c>
      <c r="C637" t="s">
        <v>867</v>
      </c>
      <c r="D637" t="s">
        <v>254</v>
      </c>
    </row>
    <row r="638" spans="1:6" x14ac:dyDescent="0.35">
      <c r="B638" t="s">
        <v>278</v>
      </c>
      <c r="C638" t="s">
        <v>868</v>
      </c>
      <c r="D638" t="s">
        <v>254</v>
      </c>
    </row>
    <row r="639" spans="1:6" x14ac:dyDescent="0.35">
      <c r="B639" t="s">
        <v>452</v>
      </c>
      <c r="C639" t="s">
        <v>571</v>
      </c>
      <c r="D639" t="s">
        <v>254</v>
      </c>
    </row>
    <row r="640" spans="1:6" x14ac:dyDescent="0.35">
      <c r="B640" t="s">
        <v>454</v>
      </c>
      <c r="C640" t="s">
        <v>546</v>
      </c>
      <c r="D640" t="s">
        <v>254</v>
      </c>
    </row>
    <row r="641" spans="1:6" x14ac:dyDescent="0.35">
      <c r="A641" s="151" t="s">
        <v>869</v>
      </c>
      <c r="B641" s="151"/>
      <c r="C641" s="151"/>
      <c r="D641" s="151" t="s">
        <v>747</v>
      </c>
      <c r="E641" s="151" t="s">
        <v>748</v>
      </c>
      <c r="F641" s="151"/>
    </row>
    <row r="642" spans="1:6" x14ac:dyDescent="0.35">
      <c r="B642" s="148" t="str">
        <f>HYPERLINK("#'Shared Response Lists'!A60", "List_TOOLSCOMP")</f>
        <v>List_TOOLSCOMP</v>
      </c>
      <c r="C642" t="s">
        <v>570</v>
      </c>
      <c r="D642" t="s">
        <v>749</v>
      </c>
    </row>
    <row r="643" spans="1:6" x14ac:dyDescent="0.35">
      <c r="A643" s="151" t="s">
        <v>870</v>
      </c>
      <c r="B643" s="151"/>
      <c r="C643" s="151" t="s">
        <v>871</v>
      </c>
      <c r="D643" s="151" t="s">
        <v>747</v>
      </c>
      <c r="E643" s="151" t="s">
        <v>748</v>
      </c>
      <c r="F643" s="151"/>
    </row>
    <row r="644" spans="1:6" x14ac:dyDescent="0.35">
      <c r="B644" s="148" t="str">
        <f>HYPERLINK("#'Shared Response Lists'!A60", "List_TOOLSCOMP")</f>
        <v>List_TOOLSCOMP</v>
      </c>
      <c r="C644" t="s">
        <v>570</v>
      </c>
      <c r="D644" t="s">
        <v>749</v>
      </c>
    </row>
    <row r="645" spans="1:6" x14ac:dyDescent="0.35">
      <c r="A645" s="151" t="s">
        <v>215</v>
      </c>
      <c r="B645" s="151"/>
      <c r="C645" s="151" t="s">
        <v>216</v>
      </c>
      <c r="D645" s="151" t="s">
        <v>250</v>
      </c>
      <c r="E645" s="151" t="s">
        <v>137</v>
      </c>
      <c r="F645" s="151" t="s">
        <v>507</v>
      </c>
    </row>
    <row r="646" spans="1:6" x14ac:dyDescent="0.35">
      <c r="B646" t="s">
        <v>257</v>
      </c>
      <c r="C646" t="s">
        <v>872</v>
      </c>
      <c r="D646" t="s">
        <v>254</v>
      </c>
    </row>
    <row r="647" spans="1:6" x14ac:dyDescent="0.35">
      <c r="B647" t="s">
        <v>258</v>
      </c>
      <c r="C647" t="s">
        <v>873</v>
      </c>
      <c r="D647" t="s">
        <v>254</v>
      </c>
    </row>
    <row r="648" spans="1:6" x14ac:dyDescent="0.35">
      <c r="B648" t="s">
        <v>259</v>
      </c>
      <c r="C648" t="s">
        <v>874</v>
      </c>
      <c r="D648" t="s">
        <v>254</v>
      </c>
    </row>
    <row r="649" spans="1:6" x14ac:dyDescent="0.35">
      <c r="B649" t="s">
        <v>264</v>
      </c>
      <c r="C649" t="s">
        <v>875</v>
      </c>
      <c r="D649" t="s">
        <v>254</v>
      </c>
    </row>
    <row r="650" spans="1:6" x14ac:dyDescent="0.35">
      <c r="B650" t="s">
        <v>266</v>
      </c>
      <c r="C650" t="s">
        <v>876</v>
      </c>
      <c r="D650" t="s">
        <v>254</v>
      </c>
    </row>
    <row r="651" spans="1:6" x14ac:dyDescent="0.35">
      <c r="B651" t="s">
        <v>268</v>
      </c>
      <c r="C651" t="s">
        <v>877</v>
      </c>
      <c r="D651" t="s">
        <v>254</v>
      </c>
    </row>
    <row r="652" spans="1:6" x14ac:dyDescent="0.35">
      <c r="B652" t="s">
        <v>270</v>
      </c>
      <c r="C652" t="s">
        <v>878</v>
      </c>
      <c r="D652" t="s">
        <v>254</v>
      </c>
    </row>
    <row r="653" spans="1:6" x14ac:dyDescent="0.35">
      <c r="B653" t="s">
        <v>272</v>
      </c>
      <c r="C653" t="s">
        <v>879</v>
      </c>
      <c r="D653" t="s">
        <v>254</v>
      </c>
    </row>
    <row r="654" spans="1:6" x14ac:dyDescent="0.35">
      <c r="B654" t="s">
        <v>274</v>
      </c>
      <c r="C654" t="s">
        <v>880</v>
      </c>
      <c r="D654" t="s">
        <v>254</v>
      </c>
    </row>
    <row r="655" spans="1:6" x14ac:dyDescent="0.35">
      <c r="B655" t="s">
        <v>276</v>
      </c>
      <c r="C655" t="s">
        <v>881</v>
      </c>
      <c r="D655" t="s">
        <v>254</v>
      </c>
    </row>
    <row r="656" spans="1:6" x14ac:dyDescent="0.35">
      <c r="B656" t="s">
        <v>278</v>
      </c>
      <c r="C656" t="s">
        <v>882</v>
      </c>
      <c r="D656" t="s">
        <v>254</v>
      </c>
    </row>
    <row r="657" spans="1:6" x14ac:dyDescent="0.35">
      <c r="B657" t="s">
        <v>280</v>
      </c>
      <c r="C657" t="s">
        <v>883</v>
      </c>
      <c r="D657" t="s">
        <v>254</v>
      </c>
    </row>
    <row r="658" spans="1:6" x14ac:dyDescent="0.35">
      <c r="B658" t="s">
        <v>454</v>
      </c>
      <c r="C658" t="s">
        <v>546</v>
      </c>
      <c r="D658" t="s">
        <v>254</v>
      </c>
    </row>
    <row r="659" spans="1:6" x14ac:dyDescent="0.35">
      <c r="A659" s="151" t="s">
        <v>884</v>
      </c>
      <c r="B659" s="151"/>
      <c r="C659" s="151"/>
      <c r="D659" s="151" t="s">
        <v>747</v>
      </c>
      <c r="E659" s="151" t="s">
        <v>748</v>
      </c>
      <c r="F659" s="151"/>
    </row>
    <row r="660" spans="1:6" x14ac:dyDescent="0.35">
      <c r="B660" t="s">
        <v>266</v>
      </c>
      <c r="C660" t="s">
        <v>885</v>
      </c>
      <c r="D660" t="s">
        <v>749</v>
      </c>
    </row>
    <row r="661" spans="1:6" x14ac:dyDescent="0.35">
      <c r="B661" t="s">
        <v>268</v>
      </c>
      <c r="C661" t="s">
        <v>886</v>
      </c>
      <c r="D661" t="s">
        <v>749</v>
      </c>
    </row>
    <row r="662" spans="1:6" x14ac:dyDescent="0.35">
      <c r="B662" t="s">
        <v>270</v>
      </c>
      <c r="C662" t="s">
        <v>887</v>
      </c>
      <c r="D662" t="s">
        <v>749</v>
      </c>
    </row>
    <row r="663" spans="1:6" x14ac:dyDescent="0.35">
      <c r="B663" t="s">
        <v>272</v>
      </c>
      <c r="C663" t="s">
        <v>888</v>
      </c>
      <c r="D663" t="s">
        <v>749</v>
      </c>
    </row>
    <row r="664" spans="1:6" x14ac:dyDescent="0.35">
      <c r="A664" s="151" t="s">
        <v>219</v>
      </c>
      <c r="B664" s="151"/>
      <c r="C664" s="151" t="s">
        <v>220</v>
      </c>
      <c r="D664" s="151" t="s">
        <v>250</v>
      </c>
      <c r="E664" s="151" t="s">
        <v>137</v>
      </c>
      <c r="F664" s="151" t="s">
        <v>507</v>
      </c>
    </row>
    <row r="665" spans="1:6" x14ac:dyDescent="0.35">
      <c r="B665" t="s">
        <v>257</v>
      </c>
      <c r="C665" t="s">
        <v>889</v>
      </c>
      <c r="D665" t="s">
        <v>254</v>
      </c>
    </row>
    <row r="666" spans="1:6" x14ac:dyDescent="0.35">
      <c r="B666" t="s">
        <v>258</v>
      </c>
      <c r="C666" t="s">
        <v>890</v>
      </c>
      <c r="D666" t="s">
        <v>254</v>
      </c>
    </row>
    <row r="667" spans="1:6" x14ac:dyDescent="0.35">
      <c r="B667" t="s">
        <v>259</v>
      </c>
      <c r="C667" t="s">
        <v>891</v>
      </c>
      <c r="D667" t="s">
        <v>254</v>
      </c>
    </row>
    <row r="668" spans="1:6" x14ac:dyDescent="0.35">
      <c r="B668" t="s">
        <v>264</v>
      </c>
      <c r="C668" t="s">
        <v>892</v>
      </c>
      <c r="D668" t="s">
        <v>254</v>
      </c>
    </row>
    <row r="669" spans="1:6" x14ac:dyDescent="0.35">
      <c r="B669" t="s">
        <v>266</v>
      </c>
      <c r="C669" t="s">
        <v>893</v>
      </c>
      <c r="D669" t="s">
        <v>254</v>
      </c>
    </row>
    <row r="670" spans="1:6" x14ac:dyDescent="0.35">
      <c r="B670" t="s">
        <v>268</v>
      </c>
      <c r="C670" t="s">
        <v>894</v>
      </c>
      <c r="D670" t="s">
        <v>254</v>
      </c>
    </row>
    <row r="671" spans="1:6" x14ac:dyDescent="0.35">
      <c r="B671" t="s">
        <v>270</v>
      </c>
      <c r="C671" t="s">
        <v>895</v>
      </c>
      <c r="D671" t="s">
        <v>254</v>
      </c>
    </row>
    <row r="672" spans="1:6" x14ac:dyDescent="0.35">
      <c r="B672" t="s">
        <v>272</v>
      </c>
      <c r="C672" t="s">
        <v>896</v>
      </c>
      <c r="D672" t="s">
        <v>254</v>
      </c>
    </row>
    <row r="673" spans="1:6" x14ac:dyDescent="0.35">
      <c r="B673" t="s">
        <v>454</v>
      </c>
      <c r="C673" t="s">
        <v>546</v>
      </c>
      <c r="D673" t="s">
        <v>254</v>
      </c>
    </row>
    <row r="674" spans="1:6" x14ac:dyDescent="0.35">
      <c r="A674" s="151" t="s">
        <v>897</v>
      </c>
      <c r="B674" s="151"/>
      <c r="C674" s="151" t="s">
        <v>898</v>
      </c>
      <c r="D674" s="151" t="s">
        <v>747</v>
      </c>
      <c r="E674" s="151" t="s">
        <v>748</v>
      </c>
      <c r="F674" s="151"/>
    </row>
    <row r="675" spans="1:6" x14ac:dyDescent="0.35">
      <c r="B675" t="s">
        <v>266</v>
      </c>
      <c r="C675" t="s">
        <v>885</v>
      </c>
      <c r="D675" t="s">
        <v>749</v>
      </c>
    </row>
    <row r="676" spans="1:6" x14ac:dyDescent="0.35">
      <c r="B676" t="s">
        <v>268</v>
      </c>
      <c r="C676" t="s">
        <v>886</v>
      </c>
      <c r="D676" t="s">
        <v>749</v>
      </c>
    </row>
    <row r="677" spans="1:6" x14ac:dyDescent="0.35">
      <c r="B677" t="s">
        <v>270</v>
      </c>
      <c r="C677" t="s">
        <v>887</v>
      </c>
      <c r="D677" t="s">
        <v>749</v>
      </c>
    </row>
    <row r="678" spans="1:6" x14ac:dyDescent="0.35">
      <c r="B678" t="s">
        <v>272</v>
      </c>
      <c r="C678" t="s">
        <v>888</v>
      </c>
      <c r="D678" t="s">
        <v>749</v>
      </c>
    </row>
    <row r="679" spans="1:6" x14ac:dyDescent="0.35">
      <c r="A679" s="151" t="s">
        <v>221</v>
      </c>
      <c r="B679" s="151"/>
      <c r="C679" s="151" t="s">
        <v>222</v>
      </c>
      <c r="D679" s="151" t="s">
        <v>250</v>
      </c>
      <c r="E679" s="151" t="s">
        <v>137</v>
      </c>
      <c r="F679" s="151" t="s">
        <v>507</v>
      </c>
    </row>
    <row r="680" spans="1:6" x14ac:dyDescent="0.35">
      <c r="B680" t="s">
        <v>257</v>
      </c>
      <c r="C680" t="s">
        <v>899</v>
      </c>
      <c r="D680" t="s">
        <v>254</v>
      </c>
    </row>
    <row r="681" spans="1:6" x14ac:dyDescent="0.35">
      <c r="B681" t="s">
        <v>258</v>
      </c>
      <c r="C681" t="s">
        <v>900</v>
      </c>
      <c r="D681" t="s">
        <v>254</v>
      </c>
    </row>
    <row r="682" spans="1:6" x14ac:dyDescent="0.35">
      <c r="B682" t="s">
        <v>259</v>
      </c>
      <c r="C682" t="s">
        <v>901</v>
      </c>
      <c r="D682" t="s">
        <v>254</v>
      </c>
    </row>
    <row r="683" spans="1:6" x14ac:dyDescent="0.35">
      <c r="B683" t="s">
        <v>264</v>
      </c>
      <c r="C683" t="s">
        <v>902</v>
      </c>
      <c r="D683" t="s">
        <v>254</v>
      </c>
    </row>
    <row r="684" spans="1:6" x14ac:dyDescent="0.35">
      <c r="B684" t="s">
        <v>266</v>
      </c>
      <c r="C684" t="s">
        <v>903</v>
      </c>
      <c r="D684" t="s">
        <v>254</v>
      </c>
    </row>
    <row r="685" spans="1:6" x14ac:dyDescent="0.35">
      <c r="B685" t="s">
        <v>268</v>
      </c>
      <c r="C685" t="s">
        <v>904</v>
      </c>
      <c r="D685" t="s">
        <v>254</v>
      </c>
    </row>
    <row r="686" spans="1:6" x14ac:dyDescent="0.35">
      <c r="B686" t="s">
        <v>270</v>
      </c>
      <c r="C686" t="s">
        <v>905</v>
      </c>
      <c r="D686" t="s">
        <v>254</v>
      </c>
    </row>
    <row r="687" spans="1:6" x14ac:dyDescent="0.35">
      <c r="B687" t="s">
        <v>272</v>
      </c>
      <c r="C687" t="s">
        <v>906</v>
      </c>
      <c r="D687" t="s">
        <v>254</v>
      </c>
    </row>
    <row r="688" spans="1:6" x14ac:dyDescent="0.35">
      <c r="B688" t="s">
        <v>454</v>
      </c>
      <c r="C688" t="s">
        <v>546</v>
      </c>
      <c r="D688" t="s">
        <v>254</v>
      </c>
    </row>
    <row r="689" spans="1:6" x14ac:dyDescent="0.35">
      <c r="A689" s="151" t="s">
        <v>907</v>
      </c>
      <c r="B689" s="151"/>
      <c r="C689" s="151" t="s">
        <v>908</v>
      </c>
      <c r="D689" s="151" t="s">
        <v>747</v>
      </c>
      <c r="E689" s="151" t="s">
        <v>748</v>
      </c>
      <c r="F689" s="151"/>
    </row>
    <row r="690" spans="1:6" x14ac:dyDescent="0.35">
      <c r="B690" t="s">
        <v>257</v>
      </c>
      <c r="C690" t="s">
        <v>909</v>
      </c>
      <c r="D690" t="s">
        <v>749</v>
      </c>
    </row>
    <row r="691" spans="1:6" x14ac:dyDescent="0.35">
      <c r="B691" t="s">
        <v>258</v>
      </c>
      <c r="C691" t="s">
        <v>910</v>
      </c>
      <c r="D691" t="s">
        <v>749</v>
      </c>
    </row>
    <row r="692" spans="1:6" x14ac:dyDescent="0.35">
      <c r="B692" t="s">
        <v>259</v>
      </c>
      <c r="C692" t="s">
        <v>911</v>
      </c>
      <c r="D692" t="s">
        <v>749</v>
      </c>
    </row>
    <row r="693" spans="1:6" x14ac:dyDescent="0.35">
      <c r="B693" t="s">
        <v>264</v>
      </c>
      <c r="C693" t="s">
        <v>912</v>
      </c>
      <c r="D693" t="s">
        <v>749</v>
      </c>
    </row>
    <row r="694" spans="1:6" x14ac:dyDescent="0.35">
      <c r="B694" t="s">
        <v>266</v>
      </c>
      <c r="C694" t="s">
        <v>885</v>
      </c>
      <c r="D694" t="s">
        <v>749</v>
      </c>
    </row>
    <row r="695" spans="1:6" x14ac:dyDescent="0.35">
      <c r="B695" t="s">
        <v>268</v>
      </c>
      <c r="C695" t="s">
        <v>886</v>
      </c>
      <c r="D695" t="s">
        <v>749</v>
      </c>
    </row>
    <row r="696" spans="1:6" x14ac:dyDescent="0.35">
      <c r="B696" t="s">
        <v>270</v>
      </c>
      <c r="C696" t="s">
        <v>887</v>
      </c>
      <c r="D696" t="s">
        <v>749</v>
      </c>
    </row>
    <row r="697" spans="1:6" x14ac:dyDescent="0.35">
      <c r="B697" t="s">
        <v>272</v>
      </c>
      <c r="C697" t="s">
        <v>888</v>
      </c>
      <c r="D697" t="s">
        <v>749</v>
      </c>
    </row>
    <row r="698" spans="1:6" x14ac:dyDescent="0.35">
      <c r="A698" s="151" t="s">
        <v>223</v>
      </c>
      <c r="B698" s="151"/>
      <c r="C698" s="151" t="s">
        <v>224</v>
      </c>
      <c r="D698" s="151" t="s">
        <v>250</v>
      </c>
      <c r="E698" s="151" t="s">
        <v>129</v>
      </c>
      <c r="F698" s="151" t="s">
        <v>251</v>
      </c>
    </row>
    <row r="699" spans="1:6" x14ac:dyDescent="0.35">
      <c r="B699" t="s">
        <v>257</v>
      </c>
      <c r="C699" t="s">
        <v>750</v>
      </c>
      <c r="D699" t="s">
        <v>254</v>
      </c>
    </row>
    <row r="700" spans="1:6" x14ac:dyDescent="0.35">
      <c r="B700" t="s">
        <v>258</v>
      </c>
      <c r="C700" t="s">
        <v>751</v>
      </c>
      <c r="D700" t="s">
        <v>254</v>
      </c>
    </row>
    <row r="701" spans="1:6" x14ac:dyDescent="0.35">
      <c r="B701" t="s">
        <v>259</v>
      </c>
      <c r="C701" t="s">
        <v>752</v>
      </c>
      <c r="D701" t="s">
        <v>254</v>
      </c>
    </row>
    <row r="702" spans="1:6" x14ac:dyDescent="0.35">
      <c r="B702" t="s">
        <v>264</v>
      </c>
      <c r="C702" t="s">
        <v>753</v>
      </c>
      <c r="D702" t="s">
        <v>254</v>
      </c>
    </row>
    <row r="703" spans="1:6" x14ac:dyDescent="0.35">
      <c r="B703" t="s">
        <v>266</v>
      </c>
      <c r="C703" t="s">
        <v>754</v>
      </c>
      <c r="D703" t="s">
        <v>254</v>
      </c>
    </row>
    <row r="704" spans="1:6" x14ac:dyDescent="0.35">
      <c r="B704" t="s">
        <v>268</v>
      </c>
      <c r="C704" t="s">
        <v>755</v>
      </c>
      <c r="D704" t="s">
        <v>254</v>
      </c>
    </row>
    <row r="705" spans="1:6" x14ac:dyDescent="0.35">
      <c r="B705" t="s">
        <v>270</v>
      </c>
      <c r="C705" t="s">
        <v>756</v>
      </c>
      <c r="D705" t="s">
        <v>254</v>
      </c>
    </row>
    <row r="706" spans="1:6" x14ac:dyDescent="0.35">
      <c r="B706" t="s">
        <v>272</v>
      </c>
      <c r="C706" t="s">
        <v>757</v>
      </c>
      <c r="D706" t="s">
        <v>254</v>
      </c>
    </row>
    <row r="707" spans="1:6" x14ac:dyDescent="0.35">
      <c r="A707" s="151" t="s">
        <v>913</v>
      </c>
      <c r="B707" s="151"/>
      <c r="C707" s="151" t="s">
        <v>914</v>
      </c>
      <c r="D707" s="151" t="s">
        <v>747</v>
      </c>
      <c r="E707" s="151" t="s">
        <v>748</v>
      </c>
      <c r="F707" s="151"/>
    </row>
    <row r="708" spans="1:6" x14ac:dyDescent="0.35">
      <c r="B708" s="148" t="str">
        <f>HYPERLINK("#'Shared Response Lists'!A72", "List_SOA")</f>
        <v>List_SOA</v>
      </c>
      <c r="C708" t="s">
        <v>570</v>
      </c>
      <c r="D708" t="s">
        <v>749</v>
      </c>
    </row>
    <row r="709" spans="1:6" x14ac:dyDescent="0.35">
      <c r="A709" s="151" t="s">
        <v>227</v>
      </c>
      <c r="B709" s="151"/>
      <c r="C709" s="151" t="s">
        <v>228</v>
      </c>
      <c r="D709" s="151" t="s">
        <v>856</v>
      </c>
      <c r="E709" s="151" t="s">
        <v>85</v>
      </c>
      <c r="F709" s="151"/>
    </row>
    <row r="710" spans="1:6" x14ac:dyDescent="0.35">
      <c r="A710" s="151" t="s">
        <v>915</v>
      </c>
      <c r="B710" s="151"/>
      <c r="C710" s="151" t="s">
        <v>916</v>
      </c>
      <c r="D710" s="151" t="s">
        <v>747</v>
      </c>
      <c r="E710" s="151" t="s">
        <v>748</v>
      </c>
      <c r="F710" s="151"/>
    </row>
    <row r="711" spans="1:6" x14ac:dyDescent="0.35">
      <c r="B711" t="s">
        <v>257</v>
      </c>
      <c r="C711" t="s">
        <v>909</v>
      </c>
      <c r="D711" t="s">
        <v>749</v>
      </c>
    </row>
    <row r="712" spans="1:6" x14ac:dyDescent="0.35">
      <c r="B712" t="s">
        <v>258</v>
      </c>
      <c r="C712" t="s">
        <v>910</v>
      </c>
      <c r="D712" t="s">
        <v>749</v>
      </c>
    </row>
    <row r="713" spans="1:6" x14ac:dyDescent="0.35">
      <c r="B713" t="s">
        <v>259</v>
      </c>
      <c r="C713" t="s">
        <v>911</v>
      </c>
      <c r="D713" t="s">
        <v>749</v>
      </c>
    </row>
    <row r="714" spans="1:6" x14ac:dyDescent="0.35">
      <c r="B714" t="s">
        <v>264</v>
      </c>
      <c r="C714" t="s">
        <v>912</v>
      </c>
      <c r="D714" t="s">
        <v>749</v>
      </c>
    </row>
    <row r="715" spans="1:6" x14ac:dyDescent="0.35">
      <c r="B715" t="s">
        <v>266</v>
      </c>
      <c r="C715" t="s">
        <v>885</v>
      </c>
      <c r="D715" t="s">
        <v>749</v>
      </c>
    </row>
    <row r="716" spans="1:6" x14ac:dyDescent="0.35">
      <c r="B716" t="s">
        <v>268</v>
      </c>
      <c r="C716" t="s">
        <v>886</v>
      </c>
      <c r="D716" t="s">
        <v>749</v>
      </c>
    </row>
    <row r="717" spans="1:6" x14ac:dyDescent="0.35">
      <c r="B717" t="s">
        <v>270</v>
      </c>
      <c r="C717" t="s">
        <v>887</v>
      </c>
      <c r="D717" t="s">
        <v>749</v>
      </c>
    </row>
    <row r="718" spans="1:6" x14ac:dyDescent="0.35">
      <c r="B718" t="s">
        <v>272</v>
      </c>
      <c r="C718" t="s">
        <v>888</v>
      </c>
      <c r="D718" t="s">
        <v>749</v>
      </c>
    </row>
    <row r="719" spans="1:6" x14ac:dyDescent="0.35">
      <c r="A719" s="151" t="s">
        <v>229</v>
      </c>
      <c r="B719" s="151"/>
      <c r="C719" s="151" t="s">
        <v>230</v>
      </c>
      <c r="D719" s="151" t="s">
        <v>250</v>
      </c>
      <c r="E719" s="151" t="s">
        <v>793</v>
      </c>
      <c r="F719" s="151" t="s">
        <v>251</v>
      </c>
    </row>
    <row r="720" spans="1:6" x14ac:dyDescent="0.35">
      <c r="B720" t="s">
        <v>257</v>
      </c>
      <c r="C720" t="s">
        <v>798</v>
      </c>
      <c r="D720" t="s">
        <v>254</v>
      </c>
      <c r="E720" t="s">
        <v>261</v>
      </c>
    </row>
    <row r="721" spans="1:6" x14ac:dyDescent="0.35">
      <c r="B721" t="s">
        <v>258</v>
      </c>
      <c r="C721" t="s">
        <v>262</v>
      </c>
      <c r="D721" t="s">
        <v>254</v>
      </c>
      <c r="E721" t="s">
        <v>262</v>
      </c>
    </row>
    <row r="722" spans="1:6" x14ac:dyDescent="0.35">
      <c r="B722" t="s">
        <v>259</v>
      </c>
      <c r="C722" t="s">
        <v>263</v>
      </c>
      <c r="D722" t="s">
        <v>254</v>
      </c>
      <c r="E722" t="s">
        <v>263</v>
      </c>
    </row>
    <row r="723" spans="1:6" x14ac:dyDescent="0.35">
      <c r="B723" t="s">
        <v>264</v>
      </c>
      <c r="C723" t="s">
        <v>265</v>
      </c>
      <c r="D723" t="s">
        <v>254</v>
      </c>
      <c r="E723" t="s">
        <v>265</v>
      </c>
    </row>
    <row r="724" spans="1:6" x14ac:dyDescent="0.35">
      <c r="B724" t="s">
        <v>266</v>
      </c>
      <c r="C724" t="s">
        <v>267</v>
      </c>
      <c r="D724" t="s">
        <v>254</v>
      </c>
      <c r="E724" t="s">
        <v>267</v>
      </c>
    </row>
    <row r="725" spans="1:6" x14ac:dyDescent="0.35">
      <c r="B725" t="s">
        <v>268</v>
      </c>
      <c r="C725" t="s">
        <v>269</v>
      </c>
      <c r="D725" t="s">
        <v>254</v>
      </c>
      <c r="E725" t="s">
        <v>269</v>
      </c>
    </row>
    <row r="726" spans="1:6" x14ac:dyDescent="0.35">
      <c r="B726" t="s">
        <v>270</v>
      </c>
      <c r="C726" t="s">
        <v>271</v>
      </c>
      <c r="D726" t="s">
        <v>254</v>
      </c>
      <c r="E726" t="s">
        <v>271</v>
      </c>
    </row>
    <row r="727" spans="1:6" x14ac:dyDescent="0.35">
      <c r="B727" t="s">
        <v>272</v>
      </c>
      <c r="C727" t="s">
        <v>273</v>
      </c>
      <c r="D727" t="s">
        <v>254</v>
      </c>
      <c r="E727" t="s">
        <v>273</v>
      </c>
    </row>
    <row r="728" spans="1:6" x14ac:dyDescent="0.35">
      <c r="B728" t="s">
        <v>274</v>
      </c>
      <c r="C728" t="s">
        <v>275</v>
      </c>
      <c r="D728" t="s">
        <v>254</v>
      </c>
      <c r="E728" t="s">
        <v>275</v>
      </c>
    </row>
    <row r="729" spans="1:6" x14ac:dyDescent="0.35">
      <c r="B729" t="s">
        <v>276</v>
      </c>
      <c r="C729" t="s">
        <v>799</v>
      </c>
      <c r="D729" t="s">
        <v>254</v>
      </c>
      <c r="E729" t="s">
        <v>277</v>
      </c>
    </row>
    <row r="730" spans="1:6" x14ac:dyDescent="0.35">
      <c r="A730" s="151" t="s">
        <v>917</v>
      </c>
      <c r="B730" s="151"/>
      <c r="C730" s="151" t="s">
        <v>918</v>
      </c>
      <c r="D730" s="151" t="s">
        <v>747</v>
      </c>
      <c r="E730" s="151" t="s">
        <v>748</v>
      </c>
      <c r="F730" s="151"/>
    </row>
    <row r="731" spans="1:6" x14ac:dyDescent="0.35">
      <c r="B731" s="148" t="str">
        <f>HYPERLINK("#'Shared Response Lists'!A85", "LIST_TAGLINE")</f>
        <v>LIST_TAGLINE</v>
      </c>
      <c r="C731" t="s">
        <v>570</v>
      </c>
      <c r="D731" t="s">
        <v>749</v>
      </c>
    </row>
    <row r="732" spans="1:6" x14ac:dyDescent="0.35">
      <c r="A732" s="151" t="s">
        <v>234</v>
      </c>
      <c r="B732" s="151"/>
      <c r="C732" s="151" t="s">
        <v>235</v>
      </c>
      <c r="D732" s="151" t="s">
        <v>250</v>
      </c>
      <c r="E732" s="151" t="s">
        <v>129</v>
      </c>
      <c r="F732" s="151" t="s">
        <v>251</v>
      </c>
    </row>
    <row r="733" spans="1:6" x14ac:dyDescent="0.35">
      <c r="B733" t="s">
        <v>257</v>
      </c>
      <c r="C733" t="s">
        <v>781</v>
      </c>
      <c r="D733" t="s">
        <v>254</v>
      </c>
    </row>
    <row r="734" spans="1:6" x14ac:dyDescent="0.35">
      <c r="B734" t="s">
        <v>258</v>
      </c>
      <c r="C734" t="s">
        <v>782</v>
      </c>
      <c r="D734" t="s">
        <v>254</v>
      </c>
    </row>
    <row r="735" spans="1:6" x14ac:dyDescent="0.35">
      <c r="B735" t="s">
        <v>259</v>
      </c>
      <c r="C735" t="s">
        <v>783</v>
      </c>
      <c r="D735" t="s">
        <v>254</v>
      </c>
    </row>
    <row r="736" spans="1:6" x14ac:dyDescent="0.35">
      <c r="B736" t="s">
        <v>264</v>
      </c>
      <c r="C736" t="s">
        <v>784</v>
      </c>
      <c r="D736" t="s">
        <v>254</v>
      </c>
    </row>
    <row r="737" spans="1:6" x14ac:dyDescent="0.35">
      <c r="B737" t="s">
        <v>266</v>
      </c>
      <c r="C737" t="s">
        <v>785</v>
      </c>
      <c r="D737" t="s">
        <v>254</v>
      </c>
    </row>
    <row r="738" spans="1:6" x14ac:dyDescent="0.35">
      <c r="A738" s="151" t="s">
        <v>919</v>
      </c>
      <c r="B738" s="151"/>
      <c r="C738" s="151"/>
      <c r="D738" s="151" t="s">
        <v>747</v>
      </c>
      <c r="E738" s="151" t="s">
        <v>748</v>
      </c>
      <c r="F738" s="151"/>
    </row>
    <row r="739" spans="1:6" x14ac:dyDescent="0.35">
      <c r="B739" s="148" t="str">
        <f>HYPERLINK("#'Shared Response Lists'!A85", "LIST_TAGLINE")</f>
        <v>LIST_TAGLINE</v>
      </c>
      <c r="C739" t="s">
        <v>570</v>
      </c>
      <c r="D739" t="s">
        <v>749</v>
      </c>
    </row>
    <row r="740" spans="1:6" x14ac:dyDescent="0.35">
      <c r="A740" s="151" t="s">
        <v>920</v>
      </c>
      <c r="B740" s="151"/>
      <c r="C740" s="151" t="s">
        <v>921</v>
      </c>
      <c r="D740" s="151" t="s">
        <v>747</v>
      </c>
      <c r="E740" s="151" t="s">
        <v>748</v>
      </c>
      <c r="F740" s="151"/>
    </row>
    <row r="741" spans="1:6" x14ac:dyDescent="0.35">
      <c r="B741" t="s">
        <v>257</v>
      </c>
      <c r="C741" t="s">
        <v>922</v>
      </c>
      <c r="D741" t="s">
        <v>749</v>
      </c>
    </row>
    <row r="742" spans="1:6" x14ac:dyDescent="0.35">
      <c r="B742" t="s">
        <v>258</v>
      </c>
      <c r="C742" t="s">
        <v>923</v>
      </c>
      <c r="D742" t="s">
        <v>749</v>
      </c>
    </row>
    <row r="743" spans="1:6" x14ac:dyDescent="0.35">
      <c r="B743" t="s">
        <v>259</v>
      </c>
      <c r="C743" t="s">
        <v>924</v>
      </c>
      <c r="D743" t="s">
        <v>749</v>
      </c>
    </row>
    <row r="744" spans="1:6" x14ac:dyDescent="0.35">
      <c r="B744" t="s">
        <v>264</v>
      </c>
      <c r="C744" t="s">
        <v>925</v>
      </c>
      <c r="D744" t="s">
        <v>749</v>
      </c>
    </row>
    <row r="745" spans="1:6" x14ac:dyDescent="0.35">
      <c r="B745" t="s">
        <v>266</v>
      </c>
      <c r="C745" t="s">
        <v>926</v>
      </c>
      <c r="D745" t="s">
        <v>749</v>
      </c>
    </row>
    <row r="746" spans="1:6" x14ac:dyDescent="0.35">
      <c r="B746" t="s">
        <v>268</v>
      </c>
      <c r="C746" t="s">
        <v>927</v>
      </c>
      <c r="D746" t="s">
        <v>749</v>
      </c>
    </row>
    <row r="747" spans="1:6" x14ac:dyDescent="0.35">
      <c r="B747" t="s">
        <v>270</v>
      </c>
      <c r="C747" t="s">
        <v>928</v>
      </c>
      <c r="D747" t="s">
        <v>749</v>
      </c>
    </row>
    <row r="748" spans="1:6" x14ac:dyDescent="0.35">
      <c r="A748" s="151" t="s">
        <v>236</v>
      </c>
      <c r="B748" s="151"/>
      <c r="C748" s="151" t="s">
        <v>237</v>
      </c>
      <c r="D748" s="151" t="s">
        <v>250</v>
      </c>
      <c r="E748" s="151" t="s">
        <v>129</v>
      </c>
      <c r="F748" s="151" t="s">
        <v>251</v>
      </c>
    </row>
    <row r="749" spans="1:6" x14ac:dyDescent="0.35">
      <c r="B749" t="s">
        <v>257</v>
      </c>
      <c r="C749" t="s">
        <v>929</v>
      </c>
      <c r="D749" t="s">
        <v>254</v>
      </c>
    </row>
    <row r="750" spans="1:6" x14ac:dyDescent="0.35">
      <c r="B750" t="s">
        <v>258</v>
      </c>
      <c r="C750" t="s">
        <v>930</v>
      </c>
      <c r="D750" t="s">
        <v>254</v>
      </c>
    </row>
    <row r="751" spans="1:6" x14ac:dyDescent="0.35">
      <c r="B751" t="s">
        <v>259</v>
      </c>
      <c r="C751" t="s">
        <v>931</v>
      </c>
      <c r="D751" t="s">
        <v>254</v>
      </c>
    </row>
    <row r="752" spans="1:6" x14ac:dyDescent="0.35">
      <c r="B752" t="s">
        <v>264</v>
      </c>
      <c r="C752" t="s">
        <v>932</v>
      </c>
      <c r="D752" t="s">
        <v>254</v>
      </c>
    </row>
    <row r="753" spans="1:6" x14ac:dyDescent="0.35">
      <c r="B753" t="s">
        <v>266</v>
      </c>
      <c r="C753" t="s">
        <v>933</v>
      </c>
      <c r="D753" t="s">
        <v>254</v>
      </c>
    </row>
    <row r="754" spans="1:6" x14ac:dyDescent="0.35">
      <c r="A754" s="151" t="s">
        <v>934</v>
      </c>
      <c r="B754" s="151"/>
      <c r="C754" s="151" t="s">
        <v>935</v>
      </c>
      <c r="D754" s="151" t="s">
        <v>747</v>
      </c>
      <c r="E754" s="151" t="s">
        <v>748</v>
      </c>
      <c r="F754" s="151"/>
    </row>
    <row r="755" spans="1:6" x14ac:dyDescent="0.35">
      <c r="B755" s="148" t="str">
        <f>HYPERLINK("#'Shared Response Lists'!A85", "LIST_TAGLINE")</f>
        <v>LIST_TAGLINE</v>
      </c>
      <c r="C755" t="s">
        <v>570</v>
      </c>
      <c r="D755" t="s">
        <v>749</v>
      </c>
    </row>
    <row r="756" spans="1:6" x14ac:dyDescent="0.35">
      <c r="A756" s="151" t="s">
        <v>240</v>
      </c>
      <c r="B756" s="151"/>
      <c r="C756" s="151" t="s">
        <v>241</v>
      </c>
      <c r="D756" s="151" t="s">
        <v>856</v>
      </c>
      <c r="E756" s="151" t="s">
        <v>85</v>
      </c>
      <c r="F756" s="15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C155"/>
  <sheetViews>
    <sheetView workbookViewId="0"/>
  </sheetViews>
  <sheetFormatPr defaultColWidth="8.81640625" defaultRowHeight="12.5" x14ac:dyDescent="0.25"/>
  <cols>
    <col min="1" max="1" width="35.7265625" style="108" customWidth="1"/>
    <col min="2" max="2" width="10.7265625" style="108" customWidth="1"/>
    <col min="3" max="3" width="75.7265625" style="108" customWidth="1"/>
    <col min="4" max="4" width="15.7265625" style="108" customWidth="1"/>
    <col min="5" max="5" width="30.7265625" style="108" customWidth="1"/>
    <col min="6" max="6" width="10.7265625" style="108" customWidth="1"/>
    <col min="7" max="7" width="5.7265625" style="108" customWidth="1"/>
    <col min="8" max="8" width="8.81640625" style="108" customWidth="1"/>
    <col min="9" max="16384" width="8.81640625" style="108"/>
  </cols>
  <sheetData>
    <row r="2" spans="1:3" x14ac:dyDescent="0.25">
      <c r="A2" t="s">
        <v>936</v>
      </c>
    </row>
    <row r="3" spans="1:3" x14ac:dyDescent="0.25">
      <c r="B3" t="s">
        <v>257</v>
      </c>
      <c r="C3" t="s">
        <v>937</v>
      </c>
    </row>
    <row r="4" spans="1:3" x14ac:dyDescent="0.25">
      <c r="B4" t="s">
        <v>258</v>
      </c>
      <c r="C4" t="s">
        <v>938</v>
      </c>
    </row>
    <row r="5" spans="1:3" x14ac:dyDescent="0.25">
      <c r="B5" t="s">
        <v>259</v>
      </c>
      <c r="C5" t="s">
        <v>939</v>
      </c>
    </row>
    <row r="6" spans="1:3" x14ac:dyDescent="0.25">
      <c r="B6" t="s">
        <v>264</v>
      </c>
      <c r="C6" t="s">
        <v>940</v>
      </c>
    </row>
    <row r="7" spans="1:3" x14ac:dyDescent="0.25">
      <c r="B7" t="s">
        <v>266</v>
      </c>
      <c r="C7" t="s">
        <v>941</v>
      </c>
    </row>
    <row r="8" spans="1:3" x14ac:dyDescent="0.25">
      <c r="B8" t="s">
        <v>268</v>
      </c>
      <c r="C8" t="s">
        <v>942</v>
      </c>
    </row>
    <row r="9" spans="1:3" x14ac:dyDescent="0.25">
      <c r="B9" t="s">
        <v>270</v>
      </c>
      <c r="C9" t="s">
        <v>943</v>
      </c>
    </row>
    <row r="10" spans="1:3" x14ac:dyDescent="0.25">
      <c r="B10" t="s">
        <v>272</v>
      </c>
      <c r="C10" t="s">
        <v>944</v>
      </c>
    </row>
    <row r="11" spans="1:3" x14ac:dyDescent="0.25">
      <c r="B11" t="s">
        <v>274</v>
      </c>
      <c r="C11" t="s">
        <v>945</v>
      </c>
    </row>
    <row r="12" spans="1:3" x14ac:dyDescent="0.25">
      <c r="B12" t="s">
        <v>276</v>
      </c>
      <c r="C12" t="s">
        <v>946</v>
      </c>
    </row>
    <row r="13" spans="1:3" x14ac:dyDescent="0.25">
      <c r="B13" t="s">
        <v>278</v>
      </c>
      <c r="C13" t="s">
        <v>947</v>
      </c>
    </row>
    <row r="14" spans="1:3" x14ac:dyDescent="0.25">
      <c r="A14" t="s">
        <v>948</v>
      </c>
    </row>
    <row r="15" spans="1:3" x14ac:dyDescent="0.25">
      <c r="B15" t="s">
        <v>257</v>
      </c>
      <c r="C15" t="s">
        <v>554</v>
      </c>
    </row>
    <row r="16" spans="1:3" x14ac:dyDescent="0.25">
      <c r="B16" t="s">
        <v>258</v>
      </c>
      <c r="C16" t="s">
        <v>555</v>
      </c>
    </row>
    <row r="17" spans="1:3" x14ac:dyDescent="0.25">
      <c r="B17" t="s">
        <v>259</v>
      </c>
      <c r="C17" t="s">
        <v>556</v>
      </c>
    </row>
    <row r="18" spans="1:3" x14ac:dyDescent="0.25">
      <c r="B18" t="s">
        <v>264</v>
      </c>
      <c r="C18" t="s">
        <v>557</v>
      </c>
    </row>
    <row r="19" spans="1:3" x14ac:dyDescent="0.25">
      <c r="B19" t="s">
        <v>266</v>
      </c>
      <c r="C19" t="s">
        <v>558</v>
      </c>
    </row>
    <row r="20" spans="1:3" x14ac:dyDescent="0.25">
      <c r="B20" t="s">
        <v>268</v>
      </c>
      <c r="C20" t="s">
        <v>559</v>
      </c>
    </row>
    <row r="21" spans="1:3" x14ac:dyDescent="0.25">
      <c r="B21" t="s">
        <v>270</v>
      </c>
      <c r="C21" t="s">
        <v>560</v>
      </c>
    </row>
    <row r="22" spans="1:3" x14ac:dyDescent="0.25">
      <c r="B22" t="s">
        <v>272</v>
      </c>
      <c r="C22" t="s">
        <v>949</v>
      </c>
    </row>
    <row r="23" spans="1:3" x14ac:dyDescent="0.25">
      <c r="B23" t="s">
        <v>274</v>
      </c>
      <c r="C23" t="s">
        <v>950</v>
      </c>
    </row>
    <row r="24" spans="1:3" x14ac:dyDescent="0.25">
      <c r="B24" t="s">
        <v>276</v>
      </c>
      <c r="C24" t="s">
        <v>951</v>
      </c>
    </row>
    <row r="25" spans="1:3" x14ac:dyDescent="0.25">
      <c r="B25" t="s">
        <v>278</v>
      </c>
      <c r="C25" t="s">
        <v>952</v>
      </c>
    </row>
    <row r="26" spans="1:3" x14ac:dyDescent="0.25">
      <c r="B26" t="s">
        <v>280</v>
      </c>
      <c r="C26" t="s">
        <v>953</v>
      </c>
    </row>
    <row r="27" spans="1:3" x14ac:dyDescent="0.25">
      <c r="B27" t="s">
        <v>282</v>
      </c>
      <c r="C27" t="s">
        <v>954</v>
      </c>
    </row>
    <row r="28" spans="1:3" x14ac:dyDescent="0.25">
      <c r="B28" t="s">
        <v>284</v>
      </c>
      <c r="C28" t="s">
        <v>955</v>
      </c>
    </row>
    <row r="29" spans="1:3" x14ac:dyDescent="0.25">
      <c r="A29" t="s">
        <v>956</v>
      </c>
    </row>
    <row r="30" spans="1:3" x14ac:dyDescent="0.25">
      <c r="B30" t="s">
        <v>257</v>
      </c>
      <c r="C30" t="s">
        <v>554</v>
      </c>
    </row>
    <row r="31" spans="1:3" x14ac:dyDescent="0.25">
      <c r="B31" t="s">
        <v>258</v>
      </c>
      <c r="C31" t="s">
        <v>555</v>
      </c>
    </row>
    <row r="32" spans="1:3" x14ac:dyDescent="0.25">
      <c r="B32" t="s">
        <v>259</v>
      </c>
      <c r="C32" t="s">
        <v>556</v>
      </c>
    </row>
    <row r="33" spans="1:3" x14ac:dyDescent="0.25">
      <c r="B33" t="s">
        <v>264</v>
      </c>
      <c r="C33" t="s">
        <v>557</v>
      </c>
    </row>
    <row r="34" spans="1:3" x14ac:dyDescent="0.25">
      <c r="B34" t="s">
        <v>266</v>
      </c>
      <c r="C34" t="s">
        <v>558</v>
      </c>
    </row>
    <row r="35" spans="1:3" x14ac:dyDescent="0.25">
      <c r="B35" t="s">
        <v>268</v>
      </c>
      <c r="C35" t="s">
        <v>559</v>
      </c>
    </row>
    <row r="36" spans="1:3" x14ac:dyDescent="0.25">
      <c r="B36" t="s">
        <v>270</v>
      </c>
      <c r="C36" t="s">
        <v>560</v>
      </c>
    </row>
    <row r="37" spans="1:3" x14ac:dyDescent="0.25">
      <c r="B37" t="s">
        <v>272</v>
      </c>
      <c r="C37" t="s">
        <v>949</v>
      </c>
    </row>
    <row r="38" spans="1:3" x14ac:dyDescent="0.25">
      <c r="B38" t="s">
        <v>274</v>
      </c>
      <c r="C38" t="s">
        <v>950</v>
      </c>
    </row>
    <row r="39" spans="1:3" x14ac:dyDescent="0.25">
      <c r="B39" t="s">
        <v>276</v>
      </c>
      <c r="C39" t="s">
        <v>951</v>
      </c>
    </row>
    <row r="40" spans="1:3" x14ac:dyDescent="0.25">
      <c r="B40" t="s">
        <v>278</v>
      </c>
      <c r="C40" t="s">
        <v>952</v>
      </c>
    </row>
    <row r="41" spans="1:3" x14ac:dyDescent="0.25">
      <c r="B41" t="s">
        <v>280</v>
      </c>
      <c r="C41" t="s">
        <v>953</v>
      </c>
    </row>
    <row r="42" spans="1:3" x14ac:dyDescent="0.25">
      <c r="B42" t="s">
        <v>282</v>
      </c>
      <c r="C42" t="s">
        <v>954</v>
      </c>
    </row>
    <row r="43" spans="1:3" x14ac:dyDescent="0.25">
      <c r="B43" t="s">
        <v>284</v>
      </c>
      <c r="C43" t="s">
        <v>955</v>
      </c>
    </row>
    <row r="44" spans="1:3" x14ac:dyDescent="0.25">
      <c r="A44" t="s">
        <v>957</v>
      </c>
    </row>
    <row r="45" spans="1:3" x14ac:dyDescent="0.25">
      <c r="B45" t="s">
        <v>257</v>
      </c>
      <c r="C45" t="s">
        <v>554</v>
      </c>
    </row>
    <row r="46" spans="1:3" x14ac:dyDescent="0.25">
      <c r="B46" t="s">
        <v>258</v>
      </c>
      <c r="C46" t="s">
        <v>555</v>
      </c>
    </row>
    <row r="47" spans="1:3" x14ac:dyDescent="0.25">
      <c r="B47" t="s">
        <v>259</v>
      </c>
      <c r="C47" t="s">
        <v>556</v>
      </c>
    </row>
    <row r="48" spans="1:3" x14ac:dyDescent="0.25">
      <c r="B48" t="s">
        <v>264</v>
      </c>
      <c r="C48" t="s">
        <v>557</v>
      </c>
    </row>
    <row r="49" spans="1:3" x14ac:dyDescent="0.25">
      <c r="B49" t="s">
        <v>266</v>
      </c>
      <c r="C49" t="s">
        <v>558</v>
      </c>
    </row>
    <row r="50" spans="1:3" x14ac:dyDescent="0.25">
      <c r="B50" t="s">
        <v>268</v>
      </c>
      <c r="C50" t="s">
        <v>559</v>
      </c>
    </row>
    <row r="51" spans="1:3" x14ac:dyDescent="0.25">
      <c r="B51" t="s">
        <v>270</v>
      </c>
      <c r="C51" t="s">
        <v>560</v>
      </c>
    </row>
    <row r="52" spans="1:3" x14ac:dyDescent="0.25">
      <c r="A52" t="s">
        <v>958</v>
      </c>
    </row>
    <row r="53" spans="1:3" x14ac:dyDescent="0.25">
      <c r="B53" t="s">
        <v>257</v>
      </c>
      <c r="C53" t="s">
        <v>554</v>
      </c>
    </row>
    <row r="54" spans="1:3" x14ac:dyDescent="0.25">
      <c r="B54" t="s">
        <v>258</v>
      </c>
      <c r="C54" t="s">
        <v>555</v>
      </c>
    </row>
    <row r="55" spans="1:3" x14ac:dyDescent="0.25">
      <c r="B55" t="s">
        <v>259</v>
      </c>
      <c r="C55" t="s">
        <v>556</v>
      </c>
    </row>
    <row r="56" spans="1:3" x14ac:dyDescent="0.25">
      <c r="B56" t="s">
        <v>264</v>
      </c>
      <c r="C56" t="s">
        <v>557</v>
      </c>
    </row>
    <row r="57" spans="1:3" x14ac:dyDescent="0.25">
      <c r="B57" t="s">
        <v>266</v>
      </c>
      <c r="C57" t="s">
        <v>558</v>
      </c>
    </row>
    <row r="58" spans="1:3" x14ac:dyDescent="0.25">
      <c r="B58" t="s">
        <v>268</v>
      </c>
      <c r="C58" t="s">
        <v>559</v>
      </c>
    </row>
    <row r="59" spans="1:3" x14ac:dyDescent="0.25">
      <c r="B59" t="s">
        <v>270</v>
      </c>
      <c r="C59" t="s">
        <v>560</v>
      </c>
    </row>
    <row r="60" spans="1:3" x14ac:dyDescent="0.25">
      <c r="A60" t="s">
        <v>959</v>
      </c>
    </row>
    <row r="61" spans="1:3" x14ac:dyDescent="0.25">
      <c r="B61" t="s">
        <v>257</v>
      </c>
      <c r="C61" t="s">
        <v>858</v>
      </c>
    </row>
    <row r="62" spans="1:3" x14ac:dyDescent="0.25">
      <c r="B62" t="s">
        <v>258</v>
      </c>
      <c r="C62" t="s">
        <v>859</v>
      </c>
    </row>
    <row r="63" spans="1:3" x14ac:dyDescent="0.25">
      <c r="B63" t="s">
        <v>259</v>
      </c>
      <c r="C63" t="s">
        <v>860</v>
      </c>
    </row>
    <row r="64" spans="1:3" x14ac:dyDescent="0.25">
      <c r="B64" t="s">
        <v>264</v>
      </c>
      <c r="C64" t="s">
        <v>861</v>
      </c>
    </row>
    <row r="65" spans="1:3" x14ac:dyDescent="0.25">
      <c r="B65" t="s">
        <v>266</v>
      </c>
      <c r="C65" t="s">
        <v>862</v>
      </c>
    </row>
    <row r="66" spans="1:3" x14ac:dyDescent="0.25">
      <c r="B66" t="s">
        <v>268</v>
      </c>
      <c r="C66" t="s">
        <v>863</v>
      </c>
    </row>
    <row r="67" spans="1:3" x14ac:dyDescent="0.25">
      <c r="B67" t="s">
        <v>270</v>
      </c>
      <c r="C67" t="s">
        <v>864</v>
      </c>
    </row>
    <row r="68" spans="1:3" x14ac:dyDescent="0.25">
      <c r="B68" t="s">
        <v>272</v>
      </c>
      <c r="C68" t="s">
        <v>865</v>
      </c>
    </row>
    <row r="69" spans="1:3" x14ac:dyDescent="0.25">
      <c r="B69" t="s">
        <v>274</v>
      </c>
      <c r="C69" t="s">
        <v>866</v>
      </c>
    </row>
    <row r="70" spans="1:3" x14ac:dyDescent="0.25">
      <c r="B70" t="s">
        <v>276</v>
      </c>
      <c r="C70" t="s">
        <v>867</v>
      </c>
    </row>
    <row r="71" spans="1:3" x14ac:dyDescent="0.25">
      <c r="B71" t="s">
        <v>278</v>
      </c>
      <c r="C71" t="s">
        <v>868</v>
      </c>
    </row>
    <row r="72" spans="1:3" x14ac:dyDescent="0.25">
      <c r="A72" t="s">
        <v>960</v>
      </c>
    </row>
    <row r="73" spans="1:3" x14ac:dyDescent="0.25">
      <c r="B73" t="s">
        <v>257</v>
      </c>
      <c r="C73" t="s">
        <v>961</v>
      </c>
    </row>
    <row r="74" spans="1:3" x14ac:dyDescent="0.25">
      <c r="B74" t="s">
        <v>258</v>
      </c>
      <c r="C74" t="s">
        <v>962</v>
      </c>
    </row>
    <row r="75" spans="1:3" x14ac:dyDescent="0.25">
      <c r="B75" t="s">
        <v>259</v>
      </c>
      <c r="C75" t="s">
        <v>963</v>
      </c>
    </row>
    <row r="76" spans="1:3" x14ac:dyDescent="0.25">
      <c r="B76" t="s">
        <v>264</v>
      </c>
      <c r="C76" t="s">
        <v>964</v>
      </c>
    </row>
    <row r="77" spans="1:3" x14ac:dyDescent="0.25">
      <c r="B77" t="s">
        <v>266</v>
      </c>
      <c r="C77" t="s">
        <v>965</v>
      </c>
    </row>
    <row r="78" spans="1:3" x14ac:dyDescent="0.25">
      <c r="B78" t="s">
        <v>268</v>
      </c>
      <c r="C78" t="s">
        <v>557</v>
      </c>
    </row>
    <row r="79" spans="1:3" x14ac:dyDescent="0.25">
      <c r="B79" t="s">
        <v>270</v>
      </c>
      <c r="C79" t="s">
        <v>966</v>
      </c>
    </row>
    <row r="80" spans="1:3" x14ac:dyDescent="0.25">
      <c r="B80" t="s">
        <v>272</v>
      </c>
      <c r="C80" t="s">
        <v>967</v>
      </c>
    </row>
    <row r="81" spans="1:3" x14ac:dyDescent="0.25">
      <c r="B81" t="s">
        <v>274</v>
      </c>
      <c r="C81" t="s">
        <v>968</v>
      </c>
    </row>
    <row r="82" spans="1:3" x14ac:dyDescent="0.25">
      <c r="B82" t="s">
        <v>276</v>
      </c>
      <c r="C82" t="s">
        <v>969</v>
      </c>
    </row>
    <row r="83" spans="1:3" x14ac:dyDescent="0.25">
      <c r="B83" t="s">
        <v>278</v>
      </c>
      <c r="C83" t="s">
        <v>970</v>
      </c>
    </row>
    <row r="84" spans="1:3" x14ac:dyDescent="0.25">
      <c r="B84" t="s">
        <v>280</v>
      </c>
      <c r="C84" t="s">
        <v>971</v>
      </c>
    </row>
    <row r="85" spans="1:3" x14ac:dyDescent="0.25">
      <c r="A85" t="s">
        <v>972</v>
      </c>
    </row>
    <row r="86" spans="1:3" x14ac:dyDescent="0.25">
      <c r="B86" t="s">
        <v>257</v>
      </c>
      <c r="C86" t="s">
        <v>973</v>
      </c>
    </row>
    <row r="87" spans="1:3" x14ac:dyDescent="0.25">
      <c r="B87" t="s">
        <v>258</v>
      </c>
      <c r="C87" t="s">
        <v>974</v>
      </c>
    </row>
    <row r="88" spans="1:3" x14ac:dyDescent="0.25">
      <c r="B88" t="s">
        <v>259</v>
      </c>
      <c r="C88" t="s">
        <v>975</v>
      </c>
    </row>
    <row r="89" spans="1:3" x14ac:dyDescent="0.25">
      <c r="A89" t="s">
        <v>976</v>
      </c>
    </row>
    <row r="90" spans="1:3" x14ac:dyDescent="0.25">
      <c r="B90" t="s">
        <v>977</v>
      </c>
      <c r="C90" t="s">
        <v>978</v>
      </c>
    </row>
    <row r="91" spans="1:3" x14ac:dyDescent="0.25">
      <c r="B91" t="s">
        <v>257</v>
      </c>
      <c r="C91" t="s">
        <v>979</v>
      </c>
    </row>
    <row r="92" spans="1:3" x14ac:dyDescent="0.25">
      <c r="B92" t="s">
        <v>258</v>
      </c>
      <c r="C92" t="s">
        <v>980</v>
      </c>
    </row>
    <row r="93" spans="1:3" x14ac:dyDescent="0.25">
      <c r="B93" t="s">
        <v>259</v>
      </c>
      <c r="C93" t="s">
        <v>981</v>
      </c>
    </row>
    <row r="94" spans="1:3" x14ac:dyDescent="0.25">
      <c r="B94" t="s">
        <v>264</v>
      </c>
      <c r="C94" t="s">
        <v>982</v>
      </c>
    </row>
    <row r="95" spans="1:3" x14ac:dyDescent="0.25">
      <c r="B95" t="s">
        <v>266</v>
      </c>
      <c r="C95" t="s">
        <v>983</v>
      </c>
    </row>
    <row r="96" spans="1:3" x14ac:dyDescent="0.25">
      <c r="B96" t="s">
        <v>268</v>
      </c>
      <c r="C96" t="s">
        <v>984</v>
      </c>
    </row>
    <row r="97" spans="2:3" x14ac:dyDescent="0.25">
      <c r="B97" t="s">
        <v>270</v>
      </c>
      <c r="C97" t="s">
        <v>985</v>
      </c>
    </row>
    <row r="98" spans="2:3" x14ac:dyDescent="0.25">
      <c r="B98" t="s">
        <v>272</v>
      </c>
      <c r="C98" t="s">
        <v>986</v>
      </c>
    </row>
    <row r="99" spans="2:3" x14ac:dyDescent="0.25">
      <c r="B99" t="s">
        <v>274</v>
      </c>
      <c r="C99" t="s">
        <v>987</v>
      </c>
    </row>
    <row r="100" spans="2:3" x14ac:dyDescent="0.25">
      <c r="B100" t="s">
        <v>276</v>
      </c>
      <c r="C100" t="s">
        <v>988</v>
      </c>
    </row>
    <row r="101" spans="2:3" x14ac:dyDescent="0.25">
      <c r="B101" t="s">
        <v>278</v>
      </c>
      <c r="C101" t="s">
        <v>989</v>
      </c>
    </row>
    <row r="102" spans="2:3" x14ac:dyDescent="0.25">
      <c r="B102" t="s">
        <v>280</v>
      </c>
      <c r="C102" t="s">
        <v>990</v>
      </c>
    </row>
    <row r="103" spans="2:3" x14ac:dyDescent="0.25">
      <c r="B103" t="s">
        <v>282</v>
      </c>
      <c r="C103" t="s">
        <v>991</v>
      </c>
    </row>
    <row r="104" spans="2:3" x14ac:dyDescent="0.25">
      <c r="B104" t="s">
        <v>284</v>
      </c>
      <c r="C104" t="s">
        <v>992</v>
      </c>
    </row>
    <row r="105" spans="2:3" x14ac:dyDescent="0.25">
      <c r="B105" t="s">
        <v>286</v>
      </c>
      <c r="C105" t="s">
        <v>993</v>
      </c>
    </row>
    <row r="106" spans="2:3" x14ac:dyDescent="0.25">
      <c r="B106" t="s">
        <v>288</v>
      </c>
      <c r="C106" t="s">
        <v>994</v>
      </c>
    </row>
    <row r="107" spans="2:3" x14ac:dyDescent="0.25">
      <c r="B107" t="s">
        <v>290</v>
      </c>
      <c r="C107" t="s">
        <v>995</v>
      </c>
    </row>
    <row r="108" spans="2:3" x14ac:dyDescent="0.25">
      <c r="B108" t="s">
        <v>292</v>
      </c>
      <c r="C108" t="s">
        <v>996</v>
      </c>
    </row>
    <row r="109" spans="2:3" x14ac:dyDescent="0.25">
      <c r="B109" t="s">
        <v>294</v>
      </c>
      <c r="C109" t="s">
        <v>997</v>
      </c>
    </row>
    <row r="110" spans="2:3" x14ac:dyDescent="0.25">
      <c r="B110" t="s">
        <v>296</v>
      </c>
      <c r="C110" t="s">
        <v>998</v>
      </c>
    </row>
    <row r="111" spans="2:3" x14ac:dyDescent="0.25">
      <c r="B111" t="s">
        <v>298</v>
      </c>
      <c r="C111" t="s">
        <v>999</v>
      </c>
    </row>
    <row r="112" spans="2:3" x14ac:dyDescent="0.25">
      <c r="B112" t="s">
        <v>300</v>
      </c>
      <c r="C112" t="s">
        <v>1000</v>
      </c>
    </row>
    <row r="113" spans="2:3" x14ac:dyDescent="0.25">
      <c r="B113" t="s">
        <v>302</v>
      </c>
      <c r="C113" t="s">
        <v>1001</v>
      </c>
    </row>
    <row r="114" spans="2:3" x14ac:dyDescent="0.25">
      <c r="B114" t="s">
        <v>304</v>
      </c>
      <c r="C114" t="s">
        <v>1002</v>
      </c>
    </row>
    <row r="115" spans="2:3" x14ac:dyDescent="0.25">
      <c r="B115" t="s">
        <v>306</v>
      </c>
      <c r="C115" t="s">
        <v>1003</v>
      </c>
    </row>
    <row r="116" spans="2:3" x14ac:dyDescent="0.25">
      <c r="B116" t="s">
        <v>308</v>
      </c>
      <c r="C116" t="s">
        <v>1004</v>
      </c>
    </row>
    <row r="117" spans="2:3" x14ac:dyDescent="0.25">
      <c r="B117" t="s">
        <v>310</v>
      </c>
      <c r="C117" t="s">
        <v>1005</v>
      </c>
    </row>
    <row r="118" spans="2:3" x14ac:dyDescent="0.25">
      <c r="B118" t="s">
        <v>312</v>
      </c>
      <c r="C118" t="s">
        <v>1006</v>
      </c>
    </row>
    <row r="119" spans="2:3" x14ac:dyDescent="0.25">
      <c r="B119" t="s">
        <v>314</v>
      </c>
      <c r="C119" t="s">
        <v>1007</v>
      </c>
    </row>
    <row r="120" spans="2:3" x14ac:dyDescent="0.25">
      <c r="B120" t="s">
        <v>316</v>
      </c>
      <c r="C120" t="s">
        <v>1008</v>
      </c>
    </row>
    <row r="121" spans="2:3" x14ac:dyDescent="0.25">
      <c r="B121" t="s">
        <v>318</v>
      </c>
      <c r="C121" t="s">
        <v>1009</v>
      </c>
    </row>
    <row r="122" spans="2:3" x14ac:dyDescent="0.25">
      <c r="B122" t="s">
        <v>320</v>
      </c>
      <c r="C122" t="s">
        <v>1010</v>
      </c>
    </row>
    <row r="123" spans="2:3" x14ac:dyDescent="0.25">
      <c r="B123" t="s">
        <v>322</v>
      </c>
      <c r="C123" t="s">
        <v>1011</v>
      </c>
    </row>
    <row r="124" spans="2:3" x14ac:dyDescent="0.25">
      <c r="B124" t="s">
        <v>324</v>
      </c>
      <c r="C124" t="s">
        <v>1012</v>
      </c>
    </row>
    <row r="125" spans="2:3" x14ac:dyDescent="0.25">
      <c r="B125" t="s">
        <v>326</v>
      </c>
      <c r="C125" t="s">
        <v>1013</v>
      </c>
    </row>
    <row r="126" spans="2:3" x14ac:dyDescent="0.25">
      <c r="B126" t="s">
        <v>328</v>
      </c>
      <c r="C126" t="s">
        <v>1014</v>
      </c>
    </row>
    <row r="127" spans="2:3" x14ac:dyDescent="0.25">
      <c r="B127" t="s">
        <v>330</v>
      </c>
      <c r="C127" t="s">
        <v>1015</v>
      </c>
    </row>
    <row r="128" spans="2:3" x14ac:dyDescent="0.25">
      <c r="B128" t="s">
        <v>332</v>
      </c>
      <c r="C128" t="s">
        <v>1016</v>
      </c>
    </row>
    <row r="129" spans="2:3" x14ac:dyDescent="0.25">
      <c r="B129" t="s">
        <v>334</v>
      </c>
      <c r="C129" t="s">
        <v>1017</v>
      </c>
    </row>
    <row r="130" spans="2:3" x14ac:dyDescent="0.25">
      <c r="B130" t="s">
        <v>336</v>
      </c>
      <c r="C130" t="s">
        <v>1018</v>
      </c>
    </row>
    <row r="131" spans="2:3" x14ac:dyDescent="0.25">
      <c r="B131" t="s">
        <v>338</v>
      </c>
      <c r="C131" t="s">
        <v>1019</v>
      </c>
    </row>
    <row r="132" spans="2:3" x14ac:dyDescent="0.25">
      <c r="B132" t="s">
        <v>340</v>
      </c>
      <c r="C132" t="s">
        <v>1020</v>
      </c>
    </row>
    <row r="133" spans="2:3" x14ac:dyDescent="0.25">
      <c r="B133" t="s">
        <v>342</v>
      </c>
      <c r="C133" t="s">
        <v>1021</v>
      </c>
    </row>
    <row r="134" spans="2:3" x14ac:dyDescent="0.25">
      <c r="B134" t="s">
        <v>344</v>
      </c>
      <c r="C134" t="s">
        <v>1022</v>
      </c>
    </row>
    <row r="135" spans="2:3" x14ac:dyDescent="0.25">
      <c r="B135" t="s">
        <v>346</v>
      </c>
      <c r="C135" t="s">
        <v>1023</v>
      </c>
    </row>
    <row r="136" spans="2:3" x14ac:dyDescent="0.25">
      <c r="B136" t="s">
        <v>348</v>
      </c>
      <c r="C136" t="s">
        <v>1024</v>
      </c>
    </row>
    <row r="137" spans="2:3" x14ac:dyDescent="0.25">
      <c r="B137" t="s">
        <v>350</v>
      </c>
      <c r="C137" t="s">
        <v>1025</v>
      </c>
    </row>
    <row r="138" spans="2:3" x14ac:dyDescent="0.25">
      <c r="B138" t="s">
        <v>352</v>
      </c>
      <c r="C138" t="s">
        <v>1026</v>
      </c>
    </row>
    <row r="139" spans="2:3" x14ac:dyDescent="0.25">
      <c r="B139" t="s">
        <v>354</v>
      </c>
      <c r="C139" t="s">
        <v>1027</v>
      </c>
    </row>
    <row r="140" spans="2:3" x14ac:dyDescent="0.25">
      <c r="B140" t="s">
        <v>356</v>
      </c>
      <c r="C140" t="s">
        <v>1028</v>
      </c>
    </row>
    <row r="141" spans="2:3" x14ac:dyDescent="0.25">
      <c r="B141" t="s">
        <v>358</v>
      </c>
      <c r="C141" t="s">
        <v>1029</v>
      </c>
    </row>
    <row r="142" spans="2:3" x14ac:dyDescent="0.25">
      <c r="B142" t="s">
        <v>360</v>
      </c>
      <c r="C142" t="s">
        <v>1030</v>
      </c>
    </row>
    <row r="143" spans="2:3" x14ac:dyDescent="0.25">
      <c r="B143" t="s">
        <v>362</v>
      </c>
      <c r="C143" t="s">
        <v>1031</v>
      </c>
    </row>
    <row r="144" spans="2:3" x14ac:dyDescent="0.25">
      <c r="B144" t="s">
        <v>364</v>
      </c>
      <c r="C144" t="s">
        <v>1032</v>
      </c>
    </row>
    <row r="145" spans="2:3" x14ac:dyDescent="0.25">
      <c r="B145" t="s">
        <v>366</v>
      </c>
      <c r="C145" t="s">
        <v>1033</v>
      </c>
    </row>
    <row r="146" spans="2:3" x14ac:dyDescent="0.25">
      <c r="B146" t="s">
        <v>368</v>
      </c>
      <c r="C146" t="s">
        <v>1034</v>
      </c>
    </row>
    <row r="147" spans="2:3" x14ac:dyDescent="0.25">
      <c r="B147" t="s">
        <v>370</v>
      </c>
      <c r="C147" t="s">
        <v>1035</v>
      </c>
    </row>
    <row r="148" spans="2:3" x14ac:dyDescent="0.25">
      <c r="B148" t="s">
        <v>372</v>
      </c>
      <c r="C148" t="s">
        <v>1036</v>
      </c>
    </row>
    <row r="149" spans="2:3" x14ac:dyDescent="0.25">
      <c r="B149" t="s">
        <v>374</v>
      </c>
      <c r="C149" t="s">
        <v>1037</v>
      </c>
    </row>
    <row r="150" spans="2:3" x14ac:dyDescent="0.25">
      <c r="B150" t="s">
        <v>376</v>
      </c>
      <c r="C150" t="s">
        <v>1038</v>
      </c>
    </row>
    <row r="151" spans="2:3" x14ac:dyDescent="0.25">
      <c r="B151" t="s">
        <v>378</v>
      </c>
      <c r="C151" t="s">
        <v>1039</v>
      </c>
    </row>
    <row r="152" spans="2:3" x14ac:dyDescent="0.25">
      <c r="B152" t="s">
        <v>380</v>
      </c>
      <c r="C152" t="s">
        <v>1040</v>
      </c>
    </row>
    <row r="153" spans="2:3" x14ac:dyDescent="0.25">
      <c r="B153" t="s">
        <v>382</v>
      </c>
      <c r="C153" t="s">
        <v>1041</v>
      </c>
    </row>
    <row r="154" spans="2:3" x14ac:dyDescent="0.25">
      <c r="B154" t="s">
        <v>384</v>
      </c>
      <c r="C154" t="s">
        <v>1042</v>
      </c>
    </row>
    <row r="155" spans="2:3" x14ac:dyDescent="0.25">
      <c r="B155" t="s">
        <v>386</v>
      </c>
      <c r="C155" t="s">
        <v>1043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CFE8EF"/>
  </sheetPr>
  <dimension ref="A1:AC56"/>
  <sheetViews>
    <sheetView topLeftCell="A5" zoomScaleNormal="100" workbookViewId="0">
      <selection activeCell="E24" sqref="E24"/>
    </sheetView>
  </sheetViews>
  <sheetFormatPr defaultColWidth="8.81640625" defaultRowHeight="13" x14ac:dyDescent="0.3"/>
  <cols>
    <col min="1" max="2" width="8.81640625" style="86" customWidth="1"/>
    <col min="3" max="3" width="21.453125" style="86" bestFit="1" customWidth="1"/>
    <col min="4" max="4" width="30.26953125" style="86" customWidth="1"/>
    <col min="5" max="5" width="8.81640625" style="86" customWidth="1"/>
    <col min="6" max="16384" width="8.81640625" style="86"/>
  </cols>
  <sheetData>
    <row r="1" spans="1:29" x14ac:dyDescent="0.3">
      <c r="A1" s="86" t="s">
        <v>1044</v>
      </c>
    </row>
    <row r="2" spans="1:29" ht="31.5" customHeight="1" x14ac:dyDescent="0.7">
      <c r="A2" s="86" t="s">
        <v>1045</v>
      </c>
      <c r="D2" s="87" t="s">
        <v>1046</v>
      </c>
    </row>
    <row r="4" spans="1:29" s="88" customFormat="1" ht="17.5" customHeight="1" x14ac:dyDescent="0.3"/>
    <row r="5" spans="1:29" s="88" customFormat="1" x14ac:dyDescent="0.3">
      <c r="D5" s="88" t="s">
        <v>1047</v>
      </c>
      <c r="I5" s="89"/>
      <c r="J5" s="90"/>
    </row>
    <row r="6" spans="1:29" s="88" customFormat="1" x14ac:dyDescent="0.3">
      <c r="D6" s="191"/>
      <c r="E6" s="189"/>
      <c r="F6" s="189"/>
      <c r="G6" s="189"/>
      <c r="H6" s="189"/>
      <c r="I6" s="189"/>
      <c r="J6" s="189"/>
      <c r="K6" s="189"/>
      <c r="L6" s="189"/>
      <c r="M6" s="189"/>
      <c r="N6" s="189"/>
      <c r="O6" s="189"/>
      <c r="P6" s="189"/>
      <c r="Q6" s="166"/>
    </row>
    <row r="7" spans="1:29" s="88" customFormat="1" x14ac:dyDescent="0.3">
      <c r="D7" s="88" t="s">
        <v>1048</v>
      </c>
    </row>
    <row r="8" spans="1:29" s="88" customFormat="1" x14ac:dyDescent="0.3">
      <c r="D8" s="88" t="s">
        <v>1049</v>
      </c>
      <c r="E8" s="88" t="s">
        <v>1050</v>
      </c>
    </row>
    <row r="9" spans="1:29" s="88" customFormat="1" x14ac:dyDescent="0.3">
      <c r="E9" s="88" t="s">
        <v>1051</v>
      </c>
    </row>
    <row r="10" spans="1:29" s="88" customFormat="1" x14ac:dyDescent="0.3">
      <c r="E10" s="88" t="s">
        <v>1052</v>
      </c>
    </row>
    <row r="12" spans="1:29" x14ac:dyDescent="0.3">
      <c r="D12" s="86" t="s">
        <v>1053</v>
      </c>
      <c r="F12" s="86" t="s">
        <v>1351</v>
      </c>
    </row>
    <row r="13" spans="1:29" x14ac:dyDescent="0.3">
      <c r="D13" s="86" t="s">
        <v>1054</v>
      </c>
      <c r="F13" s="92" t="s">
        <v>147</v>
      </c>
      <c r="G13" s="134">
        <v>95</v>
      </c>
      <c r="H13" s="91"/>
      <c r="I13" s="134">
        <v>90</v>
      </c>
      <c r="J13" s="91"/>
      <c r="K13" s="134">
        <v>85</v>
      </c>
      <c r="L13" s="91"/>
      <c r="M13" s="134">
        <v>80</v>
      </c>
    </row>
    <row r="15" spans="1:29" s="154" customFormat="1" x14ac:dyDescent="0.3">
      <c r="A15" s="86" t="s">
        <v>1055</v>
      </c>
      <c r="D15" s="184" t="s">
        <v>1311</v>
      </c>
      <c r="E15" s="182" t="s">
        <v>554</v>
      </c>
      <c r="F15" s="182"/>
      <c r="G15" s="182" t="s">
        <v>771</v>
      </c>
      <c r="H15" s="182"/>
      <c r="I15" s="182"/>
      <c r="J15" s="182" t="s">
        <v>1318</v>
      </c>
      <c r="K15" s="182"/>
      <c r="L15" s="182"/>
      <c r="M15" s="182" t="s">
        <v>1313</v>
      </c>
      <c r="N15" s="182"/>
      <c r="O15" s="182"/>
      <c r="P15" s="182" t="s">
        <v>1316</v>
      </c>
      <c r="Q15" s="182"/>
      <c r="R15" s="182"/>
      <c r="S15" s="183" t="s">
        <v>1317</v>
      </c>
      <c r="T15" s="183"/>
      <c r="U15" s="183"/>
      <c r="V15" s="182" t="s">
        <v>1313</v>
      </c>
      <c r="W15" s="182"/>
      <c r="X15" s="182" t="s">
        <v>1316</v>
      </c>
      <c r="Y15" s="182"/>
      <c r="Z15" s="183" t="s">
        <v>1317</v>
      </c>
      <c r="AA15" s="183"/>
      <c r="AB15" s="182" t="s">
        <v>1323</v>
      </c>
      <c r="AC15" s="182"/>
    </row>
    <row r="16" spans="1:29" ht="65" x14ac:dyDescent="0.3">
      <c r="D16" s="185"/>
      <c r="E16" s="155" t="s">
        <v>1312</v>
      </c>
      <c r="F16" s="155" t="s">
        <v>1315</v>
      </c>
      <c r="G16" s="155" t="s">
        <v>1313</v>
      </c>
      <c r="H16" s="155" t="s">
        <v>1316</v>
      </c>
      <c r="I16" s="155" t="s">
        <v>1317</v>
      </c>
      <c r="J16" s="155" t="s">
        <v>481</v>
      </c>
      <c r="K16" s="155" t="s">
        <v>483</v>
      </c>
      <c r="L16" s="155" t="s">
        <v>1314</v>
      </c>
      <c r="M16" s="155" t="s">
        <v>481</v>
      </c>
      <c r="N16" s="155" t="s">
        <v>483</v>
      </c>
      <c r="O16" s="155" t="s">
        <v>1314</v>
      </c>
      <c r="P16" s="155" t="s">
        <v>481</v>
      </c>
      <c r="Q16" s="155" t="s">
        <v>483</v>
      </c>
      <c r="R16" s="155" t="s">
        <v>1314</v>
      </c>
      <c r="S16" s="155" t="s">
        <v>481</v>
      </c>
      <c r="T16" s="155" t="s">
        <v>483</v>
      </c>
      <c r="U16" s="155" t="s">
        <v>1314</v>
      </c>
      <c r="V16" s="155" t="s">
        <v>1319</v>
      </c>
      <c r="W16" s="155" t="s">
        <v>1320</v>
      </c>
      <c r="X16" s="155" t="s">
        <v>1319</v>
      </c>
      <c r="Y16" s="155" t="s">
        <v>1320</v>
      </c>
      <c r="Z16" s="155" t="s">
        <v>1321</v>
      </c>
      <c r="AA16" s="155" t="s">
        <v>1322</v>
      </c>
      <c r="AB16" s="155" t="s">
        <v>1324</v>
      </c>
      <c r="AC16" s="155" t="s">
        <v>1325</v>
      </c>
    </row>
    <row r="17" spans="1:29" x14ac:dyDescent="0.3">
      <c r="D17" s="92" t="s">
        <v>1056</v>
      </c>
      <c r="E17" s="92" t="s">
        <v>1057</v>
      </c>
      <c r="F17" s="92" t="s">
        <v>1058</v>
      </c>
      <c r="G17" s="92" t="s">
        <v>1059</v>
      </c>
      <c r="H17" s="92" t="s">
        <v>1060</v>
      </c>
      <c r="I17" s="92" t="s">
        <v>1061</v>
      </c>
      <c r="J17" s="92" t="s">
        <v>1062</v>
      </c>
      <c r="K17" s="92" t="s">
        <v>1063</v>
      </c>
      <c r="L17" s="92" t="s">
        <v>1064</v>
      </c>
      <c r="M17" s="92" t="s">
        <v>1065</v>
      </c>
      <c r="N17" s="92" t="s">
        <v>1066</v>
      </c>
      <c r="O17" s="92" t="s">
        <v>1067</v>
      </c>
      <c r="P17" s="92" t="s">
        <v>1068</v>
      </c>
      <c r="Q17" s="92" t="s">
        <v>1069</v>
      </c>
      <c r="R17" s="92" t="s">
        <v>1070</v>
      </c>
      <c r="S17" s="92" t="s">
        <v>1071</v>
      </c>
      <c r="T17" s="92" t="s">
        <v>1072</v>
      </c>
      <c r="U17" s="92" t="s">
        <v>1073</v>
      </c>
      <c r="V17" s="92" t="s">
        <v>1074</v>
      </c>
      <c r="W17" s="92" t="s">
        <v>1075</v>
      </c>
      <c r="X17" s="92" t="s">
        <v>1076</v>
      </c>
      <c r="Y17" s="92" t="s">
        <v>1077</v>
      </c>
      <c r="Z17" s="92" t="s">
        <v>1078</v>
      </c>
      <c r="AA17" s="92" t="s">
        <v>147</v>
      </c>
      <c r="AB17" s="92" t="s">
        <v>125</v>
      </c>
      <c r="AC17" s="92" t="s">
        <v>1079</v>
      </c>
    </row>
    <row r="18" spans="1:29" x14ac:dyDescent="0.3">
      <c r="D18" s="92">
        <v>1</v>
      </c>
      <c r="E18" s="92">
        <v>2</v>
      </c>
      <c r="F18" s="92">
        <v>3</v>
      </c>
      <c r="G18" s="92">
        <v>4</v>
      </c>
      <c r="H18" s="92">
        <v>5</v>
      </c>
      <c r="I18" s="92">
        <v>6</v>
      </c>
      <c r="J18" s="92">
        <v>7</v>
      </c>
      <c r="K18" s="92">
        <v>8</v>
      </c>
      <c r="L18" s="92">
        <v>9</v>
      </c>
      <c r="M18" s="92">
        <v>10</v>
      </c>
      <c r="N18" s="92">
        <v>11</v>
      </c>
      <c r="O18" s="92">
        <v>12</v>
      </c>
      <c r="P18" s="92">
        <v>13</v>
      </c>
      <c r="Q18" s="92">
        <v>14</v>
      </c>
      <c r="R18" s="92">
        <v>15</v>
      </c>
      <c r="S18" s="92">
        <v>16</v>
      </c>
      <c r="T18" s="92">
        <v>17</v>
      </c>
      <c r="U18" s="92">
        <v>18</v>
      </c>
      <c r="V18" s="92">
        <v>19</v>
      </c>
      <c r="W18" s="92">
        <v>20</v>
      </c>
      <c r="X18" s="92">
        <v>21</v>
      </c>
      <c r="Y18" s="92">
        <v>22</v>
      </c>
      <c r="Z18" s="92">
        <v>23</v>
      </c>
      <c r="AA18" s="92">
        <v>24</v>
      </c>
      <c r="AB18" s="92">
        <v>25</v>
      </c>
      <c r="AC18" s="92">
        <v>26</v>
      </c>
    </row>
    <row r="19" spans="1:29" x14ac:dyDescent="0.3">
      <c r="D19" s="93"/>
      <c r="E19" s="93"/>
      <c r="F19" s="93"/>
      <c r="G19" s="93"/>
      <c r="H19" s="93"/>
      <c r="I19" s="93"/>
      <c r="J19" s="93"/>
      <c r="K19" s="93"/>
      <c r="L19" s="93"/>
      <c r="M19" s="93"/>
      <c r="N19" s="93"/>
      <c r="O19" s="93"/>
      <c r="P19" s="93"/>
      <c r="Q19" s="93"/>
      <c r="R19" s="93"/>
      <c r="S19" s="93"/>
      <c r="T19" s="93"/>
      <c r="U19" s="93"/>
      <c r="V19" s="93"/>
      <c r="W19" s="93"/>
      <c r="X19" s="93"/>
    </row>
    <row r="20" spans="1:29" x14ac:dyDescent="0.3">
      <c r="C20" s="94" t="s">
        <v>1080</v>
      </c>
      <c r="E20" s="94" t="s">
        <v>1081</v>
      </c>
    </row>
    <row r="21" spans="1:29" x14ac:dyDescent="0.3">
      <c r="A21" s="93" t="s">
        <v>1056</v>
      </c>
      <c r="B21" s="93">
        <v>1</v>
      </c>
      <c r="C21" s="153" t="s">
        <v>1311</v>
      </c>
      <c r="D21" s="153"/>
      <c r="E21" s="190"/>
      <c r="F21" s="190"/>
      <c r="G21" s="190"/>
      <c r="H21" s="190"/>
      <c r="I21" s="190"/>
      <c r="J21" s="190"/>
      <c r="K21" s="190"/>
      <c r="L21" s="190"/>
      <c r="M21" s="190"/>
      <c r="N21" s="190"/>
      <c r="O21" s="190"/>
      <c r="P21" s="190"/>
      <c r="Q21" s="190"/>
      <c r="R21" s="190"/>
      <c r="S21" s="190"/>
      <c r="T21" s="190"/>
    </row>
    <row r="22" spans="1:29" x14ac:dyDescent="0.3">
      <c r="A22" s="93" t="s">
        <v>1057</v>
      </c>
      <c r="B22" s="93">
        <v>2</v>
      </c>
      <c r="C22" s="187" t="s">
        <v>554</v>
      </c>
      <c r="D22" s="153" t="s">
        <v>1312</v>
      </c>
      <c r="E22" s="86" t="s">
        <v>1326</v>
      </c>
    </row>
    <row r="23" spans="1:29" x14ac:dyDescent="0.3">
      <c r="A23" s="93" t="s">
        <v>1058</v>
      </c>
      <c r="B23" s="93">
        <v>3</v>
      </c>
      <c r="C23" s="187"/>
      <c r="D23" s="153" t="s">
        <v>1315</v>
      </c>
      <c r="E23" s="86" t="s">
        <v>1327</v>
      </c>
    </row>
    <row r="24" spans="1:29" x14ac:dyDescent="0.3">
      <c r="A24" s="93" t="s">
        <v>1059</v>
      </c>
      <c r="B24" s="93">
        <v>4</v>
      </c>
      <c r="C24" s="187" t="s">
        <v>771</v>
      </c>
      <c r="D24" s="153" t="s">
        <v>1313</v>
      </c>
      <c r="E24" s="86" t="s">
        <v>1330</v>
      </c>
    </row>
    <row r="25" spans="1:29" x14ac:dyDescent="0.3">
      <c r="A25" s="93" t="s">
        <v>1060</v>
      </c>
      <c r="B25" s="93">
        <v>5</v>
      </c>
      <c r="C25" s="187"/>
      <c r="D25" s="153" t="s">
        <v>1316</v>
      </c>
      <c r="E25" s="86" t="s">
        <v>1329</v>
      </c>
    </row>
    <row r="26" spans="1:29" x14ac:dyDescent="0.3">
      <c r="A26" s="93" t="s">
        <v>1061</v>
      </c>
      <c r="B26" s="93">
        <v>6</v>
      </c>
      <c r="C26" s="187"/>
      <c r="D26" s="153" t="s">
        <v>1317</v>
      </c>
      <c r="E26" s="86" t="s">
        <v>1328</v>
      </c>
    </row>
    <row r="27" spans="1:29" x14ac:dyDescent="0.3">
      <c r="A27" s="93" t="s">
        <v>1062</v>
      </c>
      <c r="B27" s="93">
        <v>7</v>
      </c>
      <c r="C27" s="187" t="s">
        <v>1318</v>
      </c>
      <c r="D27" s="153" t="s">
        <v>481</v>
      </c>
      <c r="E27" s="86" t="s">
        <v>1331</v>
      </c>
    </row>
    <row r="28" spans="1:29" x14ac:dyDescent="0.3">
      <c r="A28" s="93" t="s">
        <v>1063</v>
      </c>
      <c r="B28" s="93">
        <v>8</v>
      </c>
      <c r="C28" s="187"/>
      <c r="D28" s="153" t="s">
        <v>483</v>
      </c>
      <c r="E28" s="86" t="s">
        <v>1332</v>
      </c>
    </row>
    <row r="29" spans="1:29" x14ac:dyDescent="0.3">
      <c r="A29" s="93" t="s">
        <v>1064</v>
      </c>
      <c r="B29" s="93">
        <v>9</v>
      </c>
      <c r="C29" s="187"/>
      <c r="D29" s="153" t="s">
        <v>1314</v>
      </c>
      <c r="E29" s="86" t="s">
        <v>1333</v>
      </c>
    </row>
    <row r="30" spans="1:29" x14ac:dyDescent="0.3">
      <c r="A30" s="93" t="s">
        <v>1065</v>
      </c>
      <c r="B30" s="93">
        <v>10</v>
      </c>
      <c r="C30" s="187" t="s">
        <v>1313</v>
      </c>
      <c r="D30" s="153" t="s">
        <v>481</v>
      </c>
      <c r="E30" s="86" t="s">
        <v>1334</v>
      </c>
    </row>
    <row r="31" spans="1:29" x14ac:dyDescent="0.3">
      <c r="A31" s="93" t="s">
        <v>1066</v>
      </c>
      <c r="B31" s="93">
        <v>11</v>
      </c>
      <c r="C31" s="187"/>
      <c r="D31" s="153" t="s">
        <v>483</v>
      </c>
      <c r="E31" s="86" t="s">
        <v>1335</v>
      </c>
    </row>
    <row r="32" spans="1:29" x14ac:dyDescent="0.3">
      <c r="A32" s="93" t="s">
        <v>1067</v>
      </c>
      <c r="B32" s="93">
        <v>12</v>
      </c>
      <c r="C32" s="187"/>
      <c r="D32" s="153" t="s">
        <v>1314</v>
      </c>
      <c r="E32" s="86" t="s">
        <v>1336</v>
      </c>
    </row>
    <row r="33" spans="1:5" x14ac:dyDescent="0.3">
      <c r="A33" s="93" t="s">
        <v>1068</v>
      </c>
      <c r="B33" s="93">
        <v>13</v>
      </c>
      <c r="C33" s="187" t="s">
        <v>1316</v>
      </c>
      <c r="D33" s="153" t="s">
        <v>481</v>
      </c>
      <c r="E33" s="86" t="s">
        <v>1337</v>
      </c>
    </row>
    <row r="34" spans="1:5" x14ac:dyDescent="0.3">
      <c r="A34" s="93" t="s">
        <v>1069</v>
      </c>
      <c r="B34" s="93">
        <v>14</v>
      </c>
      <c r="C34" s="187"/>
      <c r="D34" s="153" t="s">
        <v>483</v>
      </c>
      <c r="E34" s="86" t="s">
        <v>1338</v>
      </c>
    </row>
    <row r="35" spans="1:5" x14ac:dyDescent="0.3">
      <c r="A35" s="93" t="s">
        <v>1070</v>
      </c>
      <c r="B35" s="93">
        <v>15</v>
      </c>
      <c r="C35" s="187"/>
      <c r="D35" s="153" t="s">
        <v>1314</v>
      </c>
      <c r="E35" s="86" t="s">
        <v>1339</v>
      </c>
    </row>
    <row r="36" spans="1:5" x14ac:dyDescent="0.3">
      <c r="A36" s="93" t="s">
        <v>1071</v>
      </c>
      <c r="B36" s="93">
        <v>16</v>
      </c>
      <c r="C36" s="186" t="s">
        <v>1317</v>
      </c>
      <c r="D36" s="153" t="s">
        <v>481</v>
      </c>
      <c r="E36" s="86" t="s">
        <v>1340</v>
      </c>
    </row>
    <row r="37" spans="1:5" x14ac:dyDescent="0.3">
      <c r="A37" s="93" t="s">
        <v>1072</v>
      </c>
      <c r="B37" s="93">
        <v>17</v>
      </c>
      <c r="C37" s="186"/>
      <c r="D37" s="153" t="s">
        <v>483</v>
      </c>
      <c r="E37" s="86" t="s">
        <v>1341</v>
      </c>
    </row>
    <row r="38" spans="1:5" x14ac:dyDescent="0.3">
      <c r="A38" s="93" t="s">
        <v>1073</v>
      </c>
      <c r="B38" s="93">
        <v>18</v>
      </c>
      <c r="C38" s="186"/>
      <c r="D38" s="153" t="s">
        <v>1314</v>
      </c>
      <c r="E38" s="86" t="s">
        <v>1342</v>
      </c>
    </row>
    <row r="39" spans="1:5" x14ac:dyDescent="0.3">
      <c r="A39" s="93" t="s">
        <v>1074</v>
      </c>
      <c r="B39" s="93">
        <v>19</v>
      </c>
      <c r="C39" s="187" t="s">
        <v>1313</v>
      </c>
      <c r="D39" s="153" t="s">
        <v>1319</v>
      </c>
      <c r="E39" s="86" t="s">
        <v>1343</v>
      </c>
    </row>
    <row r="40" spans="1:5" x14ac:dyDescent="0.3">
      <c r="A40" s="93" t="s">
        <v>1075</v>
      </c>
      <c r="B40" s="93">
        <v>20</v>
      </c>
      <c r="C40" s="187"/>
      <c r="D40" s="153" t="s">
        <v>1320</v>
      </c>
      <c r="E40" s="86" t="s">
        <v>1344</v>
      </c>
    </row>
    <row r="41" spans="1:5" x14ac:dyDescent="0.3">
      <c r="A41" s="93" t="s">
        <v>1076</v>
      </c>
      <c r="B41" s="93">
        <v>21</v>
      </c>
      <c r="C41" s="187" t="s">
        <v>1316</v>
      </c>
      <c r="D41" s="153" t="s">
        <v>1319</v>
      </c>
      <c r="E41" s="86" t="s">
        <v>1345</v>
      </c>
    </row>
    <row r="42" spans="1:5" x14ac:dyDescent="0.3">
      <c r="A42" s="93" t="s">
        <v>1077</v>
      </c>
      <c r="B42" s="93">
        <v>22</v>
      </c>
      <c r="C42" s="187"/>
      <c r="D42" s="153" t="s">
        <v>1320</v>
      </c>
      <c r="E42" s="86" t="s">
        <v>1346</v>
      </c>
    </row>
    <row r="43" spans="1:5" x14ac:dyDescent="0.3">
      <c r="A43" s="93" t="s">
        <v>1078</v>
      </c>
      <c r="B43" s="93">
        <v>23</v>
      </c>
      <c r="C43" s="186" t="s">
        <v>1317</v>
      </c>
      <c r="D43" s="153" t="s">
        <v>1321</v>
      </c>
      <c r="E43" s="86" t="s">
        <v>1347</v>
      </c>
    </row>
    <row r="44" spans="1:5" x14ac:dyDescent="0.3">
      <c r="A44" s="93" t="s">
        <v>147</v>
      </c>
      <c r="B44" s="93">
        <v>24</v>
      </c>
      <c r="C44" s="186"/>
      <c r="D44" s="153" t="s">
        <v>1322</v>
      </c>
      <c r="E44" s="86" t="s">
        <v>1348</v>
      </c>
    </row>
    <row r="45" spans="1:5" x14ac:dyDescent="0.3">
      <c r="A45" s="93" t="s">
        <v>125</v>
      </c>
      <c r="B45" s="93">
        <v>25</v>
      </c>
      <c r="C45" s="187" t="s">
        <v>1323</v>
      </c>
      <c r="D45" s="153" t="s">
        <v>1324</v>
      </c>
      <c r="E45" s="86" t="s">
        <v>1349</v>
      </c>
    </row>
    <row r="46" spans="1:5" x14ac:dyDescent="0.3">
      <c r="A46" s="93" t="s">
        <v>1079</v>
      </c>
      <c r="B46" s="93">
        <v>26</v>
      </c>
      <c r="C46" s="187"/>
      <c r="D46" s="153" t="s">
        <v>1325</v>
      </c>
      <c r="E46" s="86" t="s">
        <v>1350</v>
      </c>
    </row>
    <row r="47" spans="1:5" x14ac:dyDescent="0.3">
      <c r="A47" s="93"/>
      <c r="B47" s="93"/>
      <c r="C47" s="93"/>
    </row>
    <row r="48" spans="1:5" x14ac:dyDescent="0.3">
      <c r="A48" s="86" t="s">
        <v>1082</v>
      </c>
    </row>
    <row r="49" spans="1:9" ht="16.5" customHeight="1" x14ac:dyDescent="0.3">
      <c r="A49" s="95" t="s">
        <v>1083</v>
      </c>
      <c r="B49" s="95"/>
      <c r="C49" s="188"/>
      <c r="D49" s="189"/>
      <c r="E49" s="189"/>
      <c r="F49" s="189"/>
      <c r="G49" s="189"/>
      <c r="H49" s="189"/>
      <c r="I49" s="166"/>
    </row>
    <row r="50" spans="1:9" ht="16.5" customHeight="1" x14ac:dyDescent="0.3">
      <c r="A50" s="95" t="s">
        <v>1083</v>
      </c>
      <c r="B50" s="95"/>
      <c r="C50" s="188"/>
      <c r="D50" s="189"/>
      <c r="E50" s="189"/>
      <c r="F50" s="189"/>
      <c r="G50" s="189"/>
      <c r="H50" s="189"/>
      <c r="I50" s="166"/>
    </row>
    <row r="51" spans="1:9" ht="16.5" customHeight="1" x14ac:dyDescent="0.3">
      <c r="A51" s="95" t="s">
        <v>1083</v>
      </c>
      <c r="B51" s="95"/>
      <c r="C51" s="188"/>
      <c r="D51" s="189"/>
      <c r="E51" s="189"/>
      <c r="F51" s="189"/>
      <c r="G51" s="189"/>
      <c r="H51" s="189"/>
      <c r="I51" s="166"/>
    </row>
    <row r="52" spans="1:9" ht="16.5" customHeight="1" x14ac:dyDescent="0.3">
      <c r="A52" s="95" t="s">
        <v>1083</v>
      </c>
      <c r="B52" s="95"/>
      <c r="C52" s="188"/>
      <c r="D52" s="189"/>
      <c r="E52" s="189"/>
      <c r="F52" s="189"/>
      <c r="G52" s="189"/>
      <c r="H52" s="189"/>
      <c r="I52" s="166"/>
    </row>
    <row r="53" spans="1:9" ht="16.5" customHeight="1" x14ac:dyDescent="0.3">
      <c r="A53" s="95" t="s">
        <v>1083</v>
      </c>
      <c r="B53" s="95"/>
      <c r="C53" s="188"/>
      <c r="D53" s="189"/>
      <c r="E53" s="189"/>
      <c r="F53" s="189"/>
      <c r="G53" s="189"/>
      <c r="H53" s="189"/>
      <c r="I53" s="166"/>
    </row>
    <row r="54" spans="1:9" ht="16.5" customHeight="1" x14ac:dyDescent="0.3">
      <c r="A54" s="95" t="s">
        <v>1083</v>
      </c>
      <c r="B54" s="95"/>
      <c r="C54" s="188"/>
      <c r="D54" s="189"/>
      <c r="E54" s="189"/>
      <c r="F54" s="189"/>
      <c r="G54" s="189"/>
      <c r="H54" s="189"/>
      <c r="I54" s="166"/>
    </row>
    <row r="55" spans="1:9" ht="16.5" customHeight="1" x14ac:dyDescent="0.3">
      <c r="A55" s="95" t="s">
        <v>1083</v>
      </c>
      <c r="B55" s="95"/>
      <c r="C55" s="188"/>
      <c r="D55" s="189"/>
      <c r="E55" s="189"/>
      <c r="F55" s="189"/>
      <c r="G55" s="189"/>
      <c r="H55" s="189"/>
      <c r="I55" s="166"/>
    </row>
    <row r="56" spans="1:9" ht="16.5" customHeight="1" x14ac:dyDescent="0.3">
      <c r="A56" s="95" t="s">
        <v>1083</v>
      </c>
      <c r="B56" s="95"/>
      <c r="C56" s="188"/>
      <c r="D56" s="189"/>
      <c r="E56" s="189"/>
      <c r="F56" s="189"/>
      <c r="G56" s="189"/>
      <c r="H56" s="189"/>
      <c r="I56" s="166"/>
    </row>
  </sheetData>
  <mergeCells count="31">
    <mergeCell ref="D6:Q6"/>
    <mergeCell ref="C22:C23"/>
    <mergeCell ref="E15:F15"/>
    <mergeCell ref="G15:I15"/>
    <mergeCell ref="J15:L15"/>
    <mergeCell ref="M15:O15"/>
    <mergeCell ref="P15:R15"/>
    <mergeCell ref="C24:C26"/>
    <mergeCell ref="C27:C29"/>
    <mergeCell ref="C30:C32"/>
    <mergeCell ref="C33:C35"/>
    <mergeCell ref="E21:T21"/>
    <mergeCell ref="C55:I55"/>
    <mergeCell ref="C56:I56"/>
    <mergeCell ref="C49:I49"/>
    <mergeCell ref="C50:I50"/>
    <mergeCell ref="C51:I51"/>
    <mergeCell ref="C52:I52"/>
    <mergeCell ref="C53:I53"/>
    <mergeCell ref="C54:I54"/>
    <mergeCell ref="C36:C38"/>
    <mergeCell ref="C39:C40"/>
    <mergeCell ref="C41:C42"/>
    <mergeCell ref="C43:C44"/>
    <mergeCell ref="C45:C46"/>
    <mergeCell ref="V15:W15"/>
    <mergeCell ref="X15:Y15"/>
    <mergeCell ref="Z15:AA15"/>
    <mergeCell ref="AB15:AC15"/>
    <mergeCell ref="D15:D16"/>
    <mergeCell ref="S15:U15"/>
  </mergeCells>
  <pageMargins left="0.25" right="0.25" top="0.25" bottom="0.25" header="0.3" footer="0.3"/>
  <pageSetup paperSize="5" scale="72"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32DF6-152F-4F46-B908-21BDD5775897}">
  <sheetPr>
    <tabColor rgb="FFCFE8EF"/>
  </sheetPr>
  <dimension ref="A1:AC56"/>
  <sheetViews>
    <sheetView topLeftCell="D16" zoomScaleNormal="100" workbookViewId="0">
      <selection activeCell="L27" sqref="L27"/>
    </sheetView>
  </sheetViews>
  <sheetFormatPr defaultColWidth="8.81640625" defaultRowHeight="13" x14ac:dyDescent="0.3"/>
  <cols>
    <col min="1" max="2" width="8.81640625" style="86" customWidth="1"/>
    <col min="3" max="3" width="21.453125" style="86" bestFit="1" customWidth="1"/>
    <col min="4" max="4" width="30.26953125" style="86" customWidth="1"/>
    <col min="5" max="5" width="8.81640625" style="86" customWidth="1"/>
    <col min="6" max="16384" width="8.81640625" style="86"/>
  </cols>
  <sheetData>
    <row r="1" spans="1:29" x14ac:dyDescent="0.3">
      <c r="A1" s="86" t="s">
        <v>1044</v>
      </c>
    </row>
    <row r="2" spans="1:29" ht="31.5" customHeight="1" x14ac:dyDescent="0.7">
      <c r="A2" s="86" t="s">
        <v>1045</v>
      </c>
      <c r="D2" s="87" t="s">
        <v>1046</v>
      </c>
    </row>
    <row r="4" spans="1:29" s="88" customFormat="1" ht="17.5" customHeight="1" x14ac:dyDescent="0.3"/>
    <row r="5" spans="1:29" s="88" customFormat="1" x14ac:dyDescent="0.3">
      <c r="D5" s="88" t="s">
        <v>1047</v>
      </c>
      <c r="I5" s="89"/>
      <c r="J5" s="90"/>
    </row>
    <row r="6" spans="1:29" s="88" customFormat="1" x14ac:dyDescent="0.3">
      <c r="D6" s="191"/>
      <c r="E6" s="189"/>
      <c r="F6" s="189"/>
      <c r="G6" s="189"/>
      <c r="H6" s="189"/>
      <c r="I6" s="189"/>
      <c r="J6" s="189"/>
      <c r="K6" s="189"/>
      <c r="L6" s="189"/>
      <c r="M6" s="189"/>
      <c r="N6" s="189"/>
      <c r="O6" s="189"/>
      <c r="P6" s="189"/>
      <c r="Q6" s="166"/>
    </row>
    <row r="7" spans="1:29" s="88" customFormat="1" x14ac:dyDescent="0.3">
      <c r="D7" s="88" t="s">
        <v>1048</v>
      </c>
    </row>
    <row r="8" spans="1:29" s="88" customFormat="1" x14ac:dyDescent="0.3">
      <c r="D8" s="88" t="s">
        <v>1049</v>
      </c>
      <c r="E8" s="88" t="s">
        <v>1050</v>
      </c>
    </row>
    <row r="9" spans="1:29" s="88" customFormat="1" x14ac:dyDescent="0.3">
      <c r="E9" s="88" t="s">
        <v>1051</v>
      </c>
    </row>
    <row r="10" spans="1:29" s="88" customFormat="1" x14ac:dyDescent="0.3">
      <c r="E10" s="88" t="s">
        <v>1052</v>
      </c>
    </row>
    <row r="12" spans="1:29" x14ac:dyDescent="0.3">
      <c r="D12" s="86" t="s">
        <v>1053</v>
      </c>
      <c r="F12" s="159" t="s">
        <v>1395</v>
      </c>
      <c r="G12" s="159"/>
      <c r="H12" s="159"/>
      <c r="I12" s="159"/>
    </row>
    <row r="13" spans="1:29" x14ac:dyDescent="0.3">
      <c r="D13" s="86" t="s">
        <v>1054</v>
      </c>
      <c r="F13" s="92" t="s">
        <v>147</v>
      </c>
      <c r="G13" s="134">
        <v>95</v>
      </c>
      <c r="H13" s="91"/>
      <c r="I13" s="134">
        <v>90</v>
      </c>
      <c r="J13" s="91"/>
      <c r="K13" s="134">
        <v>85</v>
      </c>
      <c r="L13" s="91"/>
      <c r="M13" s="134">
        <v>80</v>
      </c>
    </row>
    <row r="15" spans="1:29" s="154" customFormat="1" ht="12.75" customHeight="1" x14ac:dyDescent="0.3">
      <c r="A15" s="86" t="s">
        <v>1055</v>
      </c>
      <c r="D15" s="156" t="s">
        <v>1311</v>
      </c>
      <c r="E15" s="182" t="s">
        <v>1352</v>
      </c>
      <c r="F15" s="182"/>
      <c r="G15" s="182"/>
      <c r="H15" s="182"/>
      <c r="I15" s="182"/>
      <c r="J15" s="182"/>
      <c r="K15" s="182" t="s">
        <v>1353</v>
      </c>
      <c r="L15" s="182"/>
      <c r="M15" s="182" t="s">
        <v>1356</v>
      </c>
      <c r="N15" s="182"/>
      <c r="O15" s="182"/>
      <c r="P15" s="182"/>
      <c r="Q15" s="182" t="s">
        <v>1359</v>
      </c>
      <c r="R15" s="182"/>
      <c r="S15" s="182"/>
      <c r="T15" s="183" t="s">
        <v>1360</v>
      </c>
      <c r="U15" s="183"/>
      <c r="V15" s="183"/>
      <c r="W15" s="192" t="s">
        <v>1389</v>
      </c>
      <c r="X15" s="193"/>
      <c r="Y15" s="193"/>
      <c r="Z15" s="193"/>
      <c r="AA15" s="156"/>
      <c r="AB15" s="156"/>
      <c r="AC15" s="156"/>
    </row>
    <row r="16" spans="1:29" ht="78" x14ac:dyDescent="0.3">
      <c r="D16" s="156"/>
      <c r="E16" s="155" t="s">
        <v>771</v>
      </c>
      <c r="F16" s="155" t="s">
        <v>772</v>
      </c>
      <c r="G16" s="155" t="s">
        <v>773</v>
      </c>
      <c r="H16" s="155" t="s">
        <v>774</v>
      </c>
      <c r="I16" s="155" t="s">
        <v>775</v>
      </c>
      <c r="J16" s="155" t="s">
        <v>559</v>
      </c>
      <c r="K16" s="155" t="s">
        <v>1354</v>
      </c>
      <c r="L16" s="155" t="s">
        <v>1355</v>
      </c>
      <c r="M16" s="155" t="s">
        <v>1354</v>
      </c>
      <c r="N16" s="155" t="s">
        <v>1355</v>
      </c>
      <c r="O16" s="155" t="s">
        <v>1357</v>
      </c>
      <c r="P16" s="155" t="s">
        <v>1358</v>
      </c>
      <c r="Q16" s="155" t="s">
        <v>1379</v>
      </c>
      <c r="R16" s="155" t="s">
        <v>1378</v>
      </c>
      <c r="S16" s="155" t="s">
        <v>883</v>
      </c>
      <c r="T16" s="155" t="s">
        <v>973</v>
      </c>
      <c r="U16" s="155" t="s">
        <v>974</v>
      </c>
      <c r="V16" s="155" t="s">
        <v>975</v>
      </c>
      <c r="W16" s="157" t="s">
        <v>1391</v>
      </c>
      <c r="X16" s="157" t="s">
        <v>1381</v>
      </c>
      <c r="Y16" s="157" t="s">
        <v>1382</v>
      </c>
      <c r="Z16" s="157" t="s">
        <v>1383</v>
      </c>
      <c r="AA16" s="155"/>
      <c r="AB16" s="155"/>
      <c r="AC16" s="155"/>
    </row>
    <row r="17" spans="1:29" x14ac:dyDescent="0.3">
      <c r="D17" s="92" t="s">
        <v>1056</v>
      </c>
      <c r="E17" s="92" t="s">
        <v>1057</v>
      </c>
      <c r="F17" s="92" t="s">
        <v>1058</v>
      </c>
      <c r="G17" s="92" t="s">
        <v>1059</v>
      </c>
      <c r="H17" s="92" t="s">
        <v>1060</v>
      </c>
      <c r="I17" s="92" t="s">
        <v>1061</v>
      </c>
      <c r="J17" s="92" t="s">
        <v>1062</v>
      </c>
      <c r="K17" s="92" t="s">
        <v>1063</v>
      </c>
      <c r="L17" s="92" t="s">
        <v>1064</v>
      </c>
      <c r="M17" s="92" t="s">
        <v>1065</v>
      </c>
      <c r="N17" s="92" t="s">
        <v>1066</v>
      </c>
      <c r="O17" s="92" t="s">
        <v>1067</v>
      </c>
      <c r="P17" s="92" t="s">
        <v>1068</v>
      </c>
      <c r="Q17" s="92" t="s">
        <v>1069</v>
      </c>
      <c r="R17" s="92" t="s">
        <v>1070</v>
      </c>
      <c r="S17" s="92" t="s">
        <v>1071</v>
      </c>
      <c r="T17" s="92" t="s">
        <v>1072</v>
      </c>
      <c r="U17" s="92" t="s">
        <v>1073</v>
      </c>
      <c r="V17" s="92" t="s">
        <v>1074</v>
      </c>
      <c r="W17" s="92" t="s">
        <v>1075</v>
      </c>
      <c r="X17" s="92" t="s">
        <v>1076</v>
      </c>
      <c r="Y17" s="92" t="s">
        <v>1077</v>
      </c>
      <c r="Z17" s="92" t="s">
        <v>1078</v>
      </c>
      <c r="AA17" s="92" t="s">
        <v>147</v>
      </c>
      <c r="AB17" s="92" t="s">
        <v>125</v>
      </c>
      <c r="AC17" s="92" t="s">
        <v>1079</v>
      </c>
    </row>
    <row r="18" spans="1:29" x14ac:dyDescent="0.3">
      <c r="D18" s="92">
        <v>1</v>
      </c>
      <c r="E18" s="92">
        <v>2</v>
      </c>
      <c r="F18" s="92">
        <v>3</v>
      </c>
      <c r="G18" s="92">
        <v>4</v>
      </c>
      <c r="H18" s="92">
        <v>5</v>
      </c>
      <c r="I18" s="92">
        <v>6</v>
      </c>
      <c r="J18" s="92">
        <v>7</v>
      </c>
      <c r="K18" s="92">
        <v>8</v>
      </c>
      <c r="L18" s="92">
        <v>9</v>
      </c>
      <c r="M18" s="92">
        <v>10</v>
      </c>
      <c r="N18" s="92">
        <v>11</v>
      </c>
      <c r="O18" s="92">
        <v>12</v>
      </c>
      <c r="P18" s="92">
        <v>13</v>
      </c>
      <c r="Q18" s="92">
        <v>14</v>
      </c>
      <c r="R18" s="92">
        <v>15</v>
      </c>
      <c r="S18" s="92">
        <v>16</v>
      </c>
      <c r="T18" s="92">
        <v>17</v>
      </c>
      <c r="U18" s="92">
        <v>18</v>
      </c>
      <c r="V18" s="92">
        <v>19</v>
      </c>
      <c r="W18" s="92">
        <v>20</v>
      </c>
      <c r="X18" s="92">
        <v>21</v>
      </c>
      <c r="Y18" s="92">
        <v>22</v>
      </c>
      <c r="Z18" s="92">
        <v>23</v>
      </c>
      <c r="AA18" s="92">
        <v>24</v>
      </c>
      <c r="AB18" s="92">
        <v>25</v>
      </c>
      <c r="AC18" s="92">
        <v>26</v>
      </c>
    </row>
    <row r="19" spans="1:29" x14ac:dyDescent="0.3">
      <c r="D19" s="93"/>
      <c r="E19" s="93"/>
      <c r="F19" s="93"/>
      <c r="G19" s="93"/>
      <c r="H19" s="93"/>
      <c r="I19" s="93"/>
      <c r="J19" s="93"/>
      <c r="K19" s="93"/>
      <c r="L19" s="93"/>
      <c r="M19" s="93"/>
      <c r="N19" s="93"/>
      <c r="O19" s="93"/>
      <c r="P19" s="93"/>
      <c r="Q19" s="93"/>
      <c r="R19" s="93"/>
      <c r="S19" s="93"/>
      <c r="T19" s="93"/>
      <c r="U19" s="93"/>
      <c r="V19" s="93"/>
      <c r="W19" s="93"/>
      <c r="X19" s="93"/>
    </row>
    <row r="20" spans="1:29" x14ac:dyDescent="0.3">
      <c r="C20" s="94" t="s">
        <v>1080</v>
      </c>
      <c r="E20" s="94" t="s">
        <v>1081</v>
      </c>
    </row>
    <row r="21" spans="1:29" x14ac:dyDescent="0.3">
      <c r="A21" s="93" t="s">
        <v>1056</v>
      </c>
      <c r="B21" s="93">
        <v>1</v>
      </c>
      <c r="C21" s="153" t="s">
        <v>1311</v>
      </c>
      <c r="D21" s="153"/>
      <c r="E21" s="190"/>
      <c r="F21" s="190"/>
      <c r="G21" s="190"/>
      <c r="H21" s="190"/>
      <c r="I21" s="190"/>
      <c r="J21" s="190"/>
      <c r="K21" s="190"/>
      <c r="L21" s="190"/>
      <c r="M21" s="190"/>
      <c r="N21" s="190"/>
      <c r="O21" s="190"/>
      <c r="P21" s="190"/>
      <c r="Q21" s="190"/>
      <c r="R21" s="190"/>
      <c r="S21" s="190"/>
      <c r="T21" s="190"/>
    </row>
    <row r="22" spans="1:29" x14ac:dyDescent="0.3">
      <c r="A22" s="93" t="s">
        <v>1057</v>
      </c>
      <c r="B22" s="93">
        <v>2</v>
      </c>
      <c r="C22" s="187" t="s">
        <v>1352</v>
      </c>
      <c r="D22" s="153" t="s">
        <v>771</v>
      </c>
      <c r="E22" s="86" t="s">
        <v>1361</v>
      </c>
    </row>
    <row r="23" spans="1:29" x14ac:dyDescent="0.3">
      <c r="A23" s="93" t="s">
        <v>1058</v>
      </c>
      <c r="B23" s="93">
        <v>3</v>
      </c>
      <c r="C23" s="187"/>
      <c r="D23" s="153" t="s">
        <v>772</v>
      </c>
      <c r="E23" s="86" t="s">
        <v>1362</v>
      </c>
    </row>
    <row r="24" spans="1:29" x14ac:dyDescent="0.3">
      <c r="A24" s="93" t="s">
        <v>1059</v>
      </c>
      <c r="B24" s="93">
        <v>4</v>
      </c>
      <c r="C24" s="187"/>
      <c r="D24" s="153" t="s">
        <v>773</v>
      </c>
      <c r="E24" s="86" t="s">
        <v>1363</v>
      </c>
    </row>
    <row r="25" spans="1:29" x14ac:dyDescent="0.3">
      <c r="A25" s="93" t="s">
        <v>1060</v>
      </c>
      <c r="B25" s="93">
        <v>5</v>
      </c>
      <c r="C25" s="187"/>
      <c r="D25" s="153" t="s">
        <v>774</v>
      </c>
      <c r="E25" s="86" t="s">
        <v>1365</v>
      </c>
    </row>
    <row r="26" spans="1:29" x14ac:dyDescent="0.3">
      <c r="A26" s="93" t="s">
        <v>1061</v>
      </c>
      <c r="B26" s="93">
        <v>6</v>
      </c>
      <c r="C26" s="187"/>
      <c r="D26" s="153" t="s">
        <v>775</v>
      </c>
      <c r="E26" s="86" t="s">
        <v>1364</v>
      </c>
    </row>
    <row r="27" spans="1:29" x14ac:dyDescent="0.3">
      <c r="A27" s="93" t="s">
        <v>1062</v>
      </c>
      <c r="B27" s="93">
        <v>7</v>
      </c>
      <c r="C27" s="187"/>
      <c r="D27" s="153" t="s">
        <v>559</v>
      </c>
      <c r="E27" s="86" t="s">
        <v>1366</v>
      </c>
    </row>
    <row r="28" spans="1:29" x14ac:dyDescent="0.3">
      <c r="A28" s="93" t="s">
        <v>1063</v>
      </c>
      <c r="B28" s="93">
        <v>8</v>
      </c>
      <c r="C28" s="187" t="s">
        <v>1353</v>
      </c>
      <c r="D28" s="153" t="s">
        <v>1354</v>
      </c>
      <c r="E28" s="86" t="s">
        <v>1367</v>
      </c>
    </row>
    <row r="29" spans="1:29" x14ac:dyDescent="0.3">
      <c r="A29" s="93" t="s">
        <v>1064</v>
      </c>
      <c r="B29" s="93">
        <v>9</v>
      </c>
      <c r="C29" s="187"/>
      <c r="D29" s="153" t="s">
        <v>1355</v>
      </c>
      <c r="E29" s="86" t="s">
        <v>1368</v>
      </c>
    </row>
    <row r="30" spans="1:29" x14ac:dyDescent="0.3">
      <c r="A30" s="93" t="s">
        <v>1065</v>
      </c>
      <c r="B30" s="93">
        <v>10</v>
      </c>
      <c r="C30" s="187" t="s">
        <v>1356</v>
      </c>
      <c r="D30" s="153" t="s">
        <v>1354</v>
      </c>
      <c r="E30" s="86" t="s">
        <v>1369</v>
      </c>
    </row>
    <row r="31" spans="1:29" x14ac:dyDescent="0.3">
      <c r="A31" s="93" t="s">
        <v>1066</v>
      </c>
      <c r="B31" s="93">
        <v>11</v>
      </c>
      <c r="C31" s="187"/>
      <c r="D31" s="153" t="s">
        <v>1355</v>
      </c>
      <c r="E31" s="86" t="s">
        <v>1370</v>
      </c>
    </row>
    <row r="32" spans="1:29" x14ac:dyDescent="0.3">
      <c r="A32" s="93" t="s">
        <v>1067</v>
      </c>
      <c r="B32" s="93">
        <v>12</v>
      </c>
      <c r="C32" s="187"/>
      <c r="D32" s="153" t="s">
        <v>1357</v>
      </c>
      <c r="E32" s="86" t="s">
        <v>1371</v>
      </c>
    </row>
    <row r="33" spans="1:12" x14ac:dyDescent="0.3">
      <c r="A33" s="93" t="s">
        <v>1068</v>
      </c>
      <c r="B33" s="93">
        <v>13</v>
      </c>
      <c r="C33" s="187"/>
      <c r="D33" s="153" t="s">
        <v>1358</v>
      </c>
      <c r="E33" s="86" t="s">
        <v>1372</v>
      </c>
    </row>
    <row r="34" spans="1:12" x14ac:dyDescent="0.3">
      <c r="A34" s="93" t="s">
        <v>1069</v>
      </c>
      <c r="B34" s="93">
        <v>14</v>
      </c>
      <c r="C34" s="187" t="s">
        <v>1359</v>
      </c>
      <c r="D34" s="153" t="s">
        <v>1379</v>
      </c>
      <c r="E34" s="86" t="s">
        <v>1373</v>
      </c>
    </row>
    <row r="35" spans="1:12" x14ac:dyDescent="0.3">
      <c r="A35" s="93" t="s">
        <v>1070</v>
      </c>
      <c r="B35" s="93">
        <v>15</v>
      </c>
      <c r="C35" s="187"/>
      <c r="D35" s="153" t="s">
        <v>1378</v>
      </c>
      <c r="E35" s="86" t="s">
        <v>1374</v>
      </c>
    </row>
    <row r="36" spans="1:12" x14ac:dyDescent="0.3">
      <c r="A36" s="93" t="s">
        <v>1071</v>
      </c>
      <c r="B36" s="93">
        <v>16</v>
      </c>
      <c r="C36" s="187"/>
      <c r="D36" s="153" t="s">
        <v>883</v>
      </c>
      <c r="E36" s="86" t="s">
        <v>1375</v>
      </c>
    </row>
    <row r="37" spans="1:12" x14ac:dyDescent="0.3">
      <c r="A37" s="93" t="s">
        <v>1072</v>
      </c>
      <c r="B37" s="93">
        <v>17</v>
      </c>
      <c r="C37" s="186" t="s">
        <v>1360</v>
      </c>
      <c r="D37" s="153" t="s">
        <v>973</v>
      </c>
      <c r="E37" s="86" t="s">
        <v>1376</v>
      </c>
    </row>
    <row r="38" spans="1:12" x14ac:dyDescent="0.3">
      <c r="A38" s="93" t="s">
        <v>1073</v>
      </c>
      <c r="B38" s="93">
        <v>18</v>
      </c>
      <c r="C38" s="186"/>
      <c r="D38" s="153" t="s">
        <v>974</v>
      </c>
      <c r="E38" s="86" t="s">
        <v>1377</v>
      </c>
    </row>
    <row r="39" spans="1:12" x14ac:dyDescent="0.3">
      <c r="A39" s="93" t="s">
        <v>1074</v>
      </c>
      <c r="B39" s="93">
        <v>19</v>
      </c>
      <c r="C39" s="186"/>
      <c r="D39" s="153" t="s">
        <v>975</v>
      </c>
      <c r="E39" s="86" t="s">
        <v>1380</v>
      </c>
    </row>
    <row r="40" spans="1:12" x14ac:dyDescent="0.3">
      <c r="A40" s="93" t="s">
        <v>1075</v>
      </c>
      <c r="B40" s="93">
        <v>20</v>
      </c>
      <c r="C40" s="194" t="s">
        <v>1389</v>
      </c>
      <c r="D40" s="160" t="s">
        <v>1391</v>
      </c>
      <c r="E40" s="159" t="s">
        <v>1390</v>
      </c>
      <c r="F40" s="159"/>
      <c r="G40" s="159"/>
      <c r="H40" s="159"/>
      <c r="I40" s="159"/>
      <c r="J40" s="159"/>
      <c r="K40" s="159"/>
      <c r="L40" s="159"/>
    </row>
    <row r="41" spans="1:12" x14ac:dyDescent="0.3">
      <c r="A41" s="93" t="s">
        <v>1076</v>
      </c>
      <c r="B41" s="93">
        <v>21</v>
      </c>
      <c r="C41" s="194"/>
      <c r="D41" s="160" t="s">
        <v>1381</v>
      </c>
      <c r="E41" s="159" t="s">
        <v>1392</v>
      </c>
      <c r="F41" s="159"/>
      <c r="G41" s="159"/>
      <c r="H41" s="159"/>
      <c r="I41" s="159"/>
      <c r="J41" s="159"/>
      <c r="K41" s="159"/>
      <c r="L41" s="159"/>
    </row>
    <row r="42" spans="1:12" x14ac:dyDescent="0.3">
      <c r="A42" s="93" t="s">
        <v>1077</v>
      </c>
      <c r="B42" s="93">
        <v>22</v>
      </c>
      <c r="C42" s="194"/>
      <c r="D42" s="160" t="s">
        <v>1382</v>
      </c>
      <c r="E42" s="159" t="s">
        <v>1393</v>
      </c>
      <c r="F42" s="159"/>
      <c r="G42" s="159"/>
      <c r="H42" s="159"/>
      <c r="I42" s="159"/>
      <c r="J42" s="159"/>
      <c r="K42" s="159"/>
      <c r="L42" s="159"/>
    </row>
    <row r="43" spans="1:12" x14ac:dyDescent="0.3">
      <c r="A43" s="93" t="s">
        <v>1078</v>
      </c>
      <c r="B43" s="93">
        <v>23</v>
      </c>
      <c r="C43" s="194"/>
      <c r="D43" s="160" t="s">
        <v>1383</v>
      </c>
      <c r="E43" s="159" t="s">
        <v>1394</v>
      </c>
      <c r="F43" s="159"/>
      <c r="G43" s="159"/>
      <c r="H43" s="159"/>
      <c r="I43" s="159"/>
      <c r="J43" s="159"/>
      <c r="K43" s="159"/>
      <c r="L43" s="159"/>
    </row>
    <row r="44" spans="1:12" x14ac:dyDescent="0.3">
      <c r="A44" s="93" t="s">
        <v>147</v>
      </c>
      <c r="B44" s="93">
        <v>24</v>
      </c>
      <c r="C44" s="153"/>
      <c r="D44" s="153"/>
    </row>
    <row r="45" spans="1:12" x14ac:dyDescent="0.3">
      <c r="A45" s="93" t="s">
        <v>125</v>
      </c>
      <c r="B45" s="93">
        <v>25</v>
      </c>
      <c r="C45" s="153"/>
      <c r="D45" s="153"/>
    </row>
    <row r="46" spans="1:12" x14ac:dyDescent="0.3">
      <c r="A46" s="93" t="s">
        <v>1079</v>
      </c>
      <c r="B46" s="93">
        <v>26</v>
      </c>
      <c r="C46" s="153"/>
      <c r="D46" s="153"/>
    </row>
    <row r="47" spans="1:12" x14ac:dyDescent="0.3">
      <c r="A47" s="93"/>
      <c r="B47" s="93"/>
      <c r="C47" s="93"/>
    </row>
    <row r="48" spans="1:12" x14ac:dyDescent="0.3">
      <c r="A48" s="86" t="s">
        <v>1082</v>
      </c>
    </row>
    <row r="49" spans="1:9" ht="16.5" customHeight="1" x14ac:dyDescent="0.3">
      <c r="A49" s="95" t="s">
        <v>1083</v>
      </c>
      <c r="B49" s="95"/>
      <c r="C49" s="188"/>
      <c r="D49" s="189"/>
      <c r="E49" s="189"/>
      <c r="F49" s="189"/>
      <c r="G49" s="189"/>
      <c r="H49" s="189"/>
      <c r="I49" s="166"/>
    </row>
    <row r="50" spans="1:9" ht="16.5" customHeight="1" x14ac:dyDescent="0.3">
      <c r="A50" s="95" t="s">
        <v>1083</v>
      </c>
      <c r="B50" s="95"/>
      <c r="C50" s="188"/>
      <c r="D50" s="189"/>
      <c r="E50" s="189"/>
      <c r="F50" s="189"/>
      <c r="G50" s="189"/>
      <c r="H50" s="189"/>
      <c r="I50" s="166"/>
    </row>
    <row r="51" spans="1:9" ht="16.5" customHeight="1" x14ac:dyDescent="0.3">
      <c r="A51" s="95" t="s">
        <v>1083</v>
      </c>
      <c r="B51" s="95"/>
      <c r="C51" s="188"/>
      <c r="D51" s="189"/>
      <c r="E51" s="189"/>
      <c r="F51" s="189"/>
      <c r="G51" s="189"/>
      <c r="H51" s="189"/>
      <c r="I51" s="166"/>
    </row>
    <row r="52" spans="1:9" ht="16.5" customHeight="1" x14ac:dyDescent="0.3">
      <c r="A52" s="95" t="s">
        <v>1083</v>
      </c>
      <c r="B52" s="95"/>
      <c r="C52" s="188"/>
      <c r="D52" s="189"/>
      <c r="E52" s="189"/>
      <c r="F52" s="189"/>
      <c r="G52" s="189"/>
      <c r="H52" s="189"/>
      <c r="I52" s="166"/>
    </row>
    <row r="53" spans="1:9" ht="16.5" customHeight="1" x14ac:dyDescent="0.3">
      <c r="A53" s="95" t="s">
        <v>1083</v>
      </c>
      <c r="B53" s="95"/>
      <c r="C53" s="188"/>
      <c r="D53" s="189"/>
      <c r="E53" s="189"/>
      <c r="F53" s="189"/>
      <c r="G53" s="189"/>
      <c r="H53" s="189"/>
      <c r="I53" s="166"/>
    </row>
    <row r="54" spans="1:9" ht="16.5" customHeight="1" x14ac:dyDescent="0.3">
      <c r="A54" s="95" t="s">
        <v>1083</v>
      </c>
      <c r="B54" s="95"/>
      <c r="C54" s="188"/>
      <c r="D54" s="189"/>
      <c r="E54" s="189"/>
      <c r="F54" s="189"/>
      <c r="G54" s="189"/>
      <c r="H54" s="189"/>
      <c r="I54" s="166"/>
    </row>
    <row r="55" spans="1:9" ht="16.5" customHeight="1" x14ac:dyDescent="0.3">
      <c r="A55" s="95" t="s">
        <v>1083</v>
      </c>
      <c r="B55" s="95"/>
      <c r="C55" s="188"/>
      <c r="D55" s="189"/>
      <c r="E55" s="189"/>
      <c r="F55" s="189"/>
      <c r="G55" s="189"/>
      <c r="H55" s="189"/>
      <c r="I55" s="166"/>
    </row>
    <row r="56" spans="1:9" ht="16.5" customHeight="1" x14ac:dyDescent="0.3">
      <c r="A56" s="95" t="s">
        <v>1083</v>
      </c>
      <c r="B56" s="95"/>
      <c r="C56" s="188"/>
      <c r="D56" s="189"/>
      <c r="E56" s="189"/>
      <c r="F56" s="189"/>
      <c r="G56" s="189"/>
      <c r="H56" s="189"/>
      <c r="I56" s="166"/>
    </row>
  </sheetData>
  <mergeCells count="22">
    <mergeCell ref="D6:Q6"/>
    <mergeCell ref="C55:I55"/>
    <mergeCell ref="C56:I56"/>
    <mergeCell ref="C49:I49"/>
    <mergeCell ref="C50:I50"/>
    <mergeCell ref="C37:C39"/>
    <mergeCell ref="C53:I53"/>
    <mergeCell ref="C54:I54"/>
    <mergeCell ref="C22:C27"/>
    <mergeCell ref="C28:C29"/>
    <mergeCell ref="C30:C33"/>
    <mergeCell ref="C34:C36"/>
    <mergeCell ref="W15:Z15"/>
    <mergeCell ref="C40:C43"/>
    <mergeCell ref="T15:V15"/>
    <mergeCell ref="C51:I51"/>
    <mergeCell ref="C52:I52"/>
    <mergeCell ref="E21:T21"/>
    <mergeCell ref="E15:J15"/>
    <mergeCell ref="K15:L15"/>
    <mergeCell ref="M15:P15"/>
    <mergeCell ref="Q15:S15"/>
  </mergeCells>
  <phoneticPr fontId="47" type="noConversion"/>
  <pageMargins left="0.25" right="0.25" top="0.25" bottom="0.25" header="0.3" footer="0.3"/>
  <pageSetup paperSize="5" scale="72"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04"/>
  <sheetViews>
    <sheetView workbookViewId="0">
      <selection activeCell="E6" sqref="E6"/>
    </sheetView>
  </sheetViews>
  <sheetFormatPr defaultColWidth="9.1796875" defaultRowHeight="13" x14ac:dyDescent="0.3"/>
  <cols>
    <col min="1" max="1" width="5.54296875" style="136" customWidth="1"/>
    <col min="2" max="2" width="9.54296875" style="136" customWidth="1"/>
    <col min="3" max="4" width="15.7265625" style="136" customWidth="1"/>
    <col min="5" max="5" width="47.81640625" style="136" customWidth="1"/>
    <col min="6" max="6" width="15.7265625" style="136" customWidth="1"/>
    <col min="7" max="8" width="9" style="136" customWidth="1"/>
    <col min="9" max="10" width="33.7265625" style="136" customWidth="1"/>
    <col min="11" max="11" width="9.1796875" style="136" customWidth="1"/>
    <col min="12" max="16384" width="9.1796875" style="136"/>
  </cols>
  <sheetData>
    <row r="1" spans="1:10" ht="15.75" customHeight="1" x14ac:dyDescent="0.35">
      <c r="A1" s="135" t="s">
        <v>1084</v>
      </c>
      <c r="B1" s="135"/>
    </row>
    <row r="3" spans="1:10" x14ac:dyDescent="0.3">
      <c r="A3" s="195" t="s">
        <v>1085</v>
      </c>
      <c r="B3" s="189"/>
      <c r="C3" s="189"/>
      <c r="D3" s="189"/>
      <c r="E3" s="189"/>
      <c r="F3" s="189"/>
      <c r="G3" s="189"/>
      <c r="H3" s="166"/>
      <c r="I3" s="138" t="s">
        <v>1086</v>
      </c>
      <c r="J3" s="138" t="s">
        <v>1085</v>
      </c>
    </row>
    <row r="4" spans="1:10" ht="38.25" customHeight="1" x14ac:dyDescent="0.3">
      <c r="A4" s="137" t="s">
        <v>1087</v>
      </c>
      <c r="B4" s="139" t="s">
        <v>1088</v>
      </c>
      <c r="C4" s="139" t="s">
        <v>1089</v>
      </c>
      <c r="D4" s="139" t="s">
        <v>1090</v>
      </c>
      <c r="E4" s="137" t="s">
        <v>1091</v>
      </c>
      <c r="F4" s="139" t="s">
        <v>1092</v>
      </c>
      <c r="G4" s="137" t="s">
        <v>1093</v>
      </c>
      <c r="H4" s="140" t="s">
        <v>1094</v>
      </c>
      <c r="I4" s="141" t="s">
        <v>1095</v>
      </c>
      <c r="J4" s="141" t="s">
        <v>1095</v>
      </c>
    </row>
    <row r="5" spans="1:10" ht="26" x14ac:dyDescent="0.3">
      <c r="A5" s="142">
        <v>1</v>
      </c>
      <c r="B5" s="158">
        <v>45740</v>
      </c>
      <c r="C5" s="144" t="s">
        <v>1384</v>
      </c>
      <c r="D5" s="144" t="s">
        <v>1385</v>
      </c>
      <c r="E5" s="145" t="s">
        <v>1396</v>
      </c>
      <c r="F5" s="144" t="s">
        <v>1386</v>
      </c>
      <c r="G5" s="145" t="s">
        <v>1387</v>
      </c>
      <c r="H5" s="146" t="s">
        <v>1388</v>
      </c>
      <c r="I5" s="144"/>
      <c r="J5" s="144"/>
    </row>
    <row r="6" spans="1:10" x14ac:dyDescent="0.3">
      <c r="A6" s="142">
        <v>2</v>
      </c>
      <c r="B6" s="143"/>
      <c r="C6" s="144"/>
      <c r="D6" s="144"/>
      <c r="E6" s="145"/>
      <c r="F6" s="144"/>
      <c r="G6" s="145"/>
      <c r="H6" s="147"/>
      <c r="I6" s="144"/>
      <c r="J6" s="144"/>
    </row>
    <row r="7" spans="1:10" x14ac:dyDescent="0.3">
      <c r="A7" s="142">
        <v>3</v>
      </c>
      <c r="B7" s="143"/>
      <c r="C7" s="144"/>
      <c r="D7" s="144"/>
      <c r="E7" s="145"/>
      <c r="F7" s="144"/>
      <c r="G7" s="145"/>
      <c r="H7" s="146"/>
      <c r="I7" s="144"/>
      <c r="J7" s="144"/>
    </row>
    <row r="8" spans="1:10" x14ac:dyDescent="0.3">
      <c r="A8" s="142">
        <v>4</v>
      </c>
      <c r="B8" s="143"/>
      <c r="C8" s="144"/>
      <c r="D8" s="144"/>
      <c r="E8" s="145"/>
      <c r="F8" s="144"/>
      <c r="G8" s="145"/>
      <c r="H8" s="146"/>
      <c r="I8" s="144"/>
      <c r="J8" s="144"/>
    </row>
    <row r="9" spans="1:10" x14ac:dyDescent="0.3">
      <c r="A9" s="142">
        <v>5</v>
      </c>
      <c r="B9" s="143"/>
      <c r="C9" s="144"/>
      <c r="D9" s="144"/>
      <c r="E9" s="145"/>
      <c r="F9" s="144"/>
      <c r="G9" s="145"/>
      <c r="H9" s="146"/>
      <c r="I9" s="144"/>
      <c r="J9" s="144"/>
    </row>
    <row r="10" spans="1:10" x14ac:dyDescent="0.3">
      <c r="A10" s="142">
        <v>6</v>
      </c>
      <c r="B10" s="143"/>
      <c r="C10" s="144"/>
      <c r="D10" s="144"/>
      <c r="E10" s="145"/>
      <c r="F10" s="144"/>
      <c r="G10" s="145"/>
      <c r="H10" s="146"/>
      <c r="I10" s="144"/>
      <c r="J10" s="144"/>
    </row>
    <row r="11" spans="1:10" x14ac:dyDescent="0.3">
      <c r="A11" s="142">
        <v>7</v>
      </c>
      <c r="B11" s="143"/>
      <c r="C11" s="144"/>
      <c r="D11" s="144"/>
      <c r="E11" s="144"/>
      <c r="F11" s="144"/>
      <c r="G11" s="145"/>
      <c r="H11" s="146"/>
      <c r="I11" s="144"/>
      <c r="J11" s="144"/>
    </row>
    <row r="12" spans="1:10" x14ac:dyDescent="0.3">
      <c r="A12" s="142">
        <v>8</v>
      </c>
      <c r="B12" s="143"/>
      <c r="C12" s="144"/>
      <c r="D12" s="144"/>
      <c r="E12" s="144"/>
      <c r="F12" s="144"/>
      <c r="G12" s="145"/>
      <c r="H12" s="146"/>
      <c r="I12" s="144"/>
      <c r="J12" s="144"/>
    </row>
    <row r="13" spans="1:10" x14ac:dyDescent="0.3">
      <c r="A13" s="142">
        <v>9</v>
      </c>
      <c r="B13" s="143"/>
      <c r="C13" s="144"/>
      <c r="D13" s="144"/>
      <c r="E13" s="144"/>
      <c r="F13" s="144"/>
      <c r="G13" s="145"/>
      <c r="H13" s="146"/>
      <c r="I13" s="144"/>
      <c r="J13" s="144"/>
    </row>
    <row r="14" spans="1:10" x14ac:dyDescent="0.3">
      <c r="A14" s="142">
        <v>10</v>
      </c>
      <c r="B14" s="143"/>
      <c r="C14" s="144"/>
      <c r="D14" s="144"/>
      <c r="E14" s="144"/>
      <c r="F14" s="144"/>
      <c r="G14" s="145"/>
      <c r="H14" s="146"/>
      <c r="I14" s="144"/>
      <c r="J14" s="144"/>
    </row>
    <row r="15" spans="1:10" x14ac:dyDescent="0.3">
      <c r="A15" s="142">
        <v>11</v>
      </c>
      <c r="B15" s="143"/>
      <c r="C15" s="144"/>
      <c r="D15" s="144"/>
      <c r="E15" s="144"/>
      <c r="F15" s="144"/>
      <c r="G15" s="145"/>
      <c r="H15" s="146"/>
      <c r="I15" s="144"/>
      <c r="J15" s="144"/>
    </row>
    <row r="16" spans="1:10" x14ac:dyDescent="0.3">
      <c r="A16" s="142">
        <v>12</v>
      </c>
      <c r="B16" s="143"/>
      <c r="C16" s="144"/>
      <c r="D16" s="144"/>
      <c r="E16" s="144"/>
      <c r="F16" s="144"/>
      <c r="G16" s="145"/>
      <c r="H16" s="146"/>
      <c r="I16" s="144"/>
      <c r="J16" s="144"/>
    </row>
    <row r="17" spans="1:10" x14ac:dyDescent="0.3">
      <c r="A17" s="142">
        <v>13</v>
      </c>
      <c r="B17" s="143"/>
      <c r="C17" s="144"/>
      <c r="D17" s="144"/>
      <c r="E17" s="144"/>
      <c r="F17" s="144"/>
      <c r="G17" s="145"/>
      <c r="H17" s="146"/>
      <c r="I17" s="144"/>
      <c r="J17" s="144"/>
    </row>
    <row r="18" spans="1:10" x14ac:dyDescent="0.3">
      <c r="A18" s="142">
        <v>14</v>
      </c>
      <c r="B18" s="143"/>
      <c r="C18" s="144"/>
      <c r="D18" s="144"/>
      <c r="E18" s="144"/>
      <c r="F18" s="144"/>
      <c r="G18" s="145"/>
      <c r="H18" s="146"/>
      <c r="I18" s="144"/>
      <c r="J18" s="144"/>
    </row>
    <row r="19" spans="1:10" x14ac:dyDescent="0.3">
      <c r="A19" s="142">
        <v>15</v>
      </c>
      <c r="B19" s="143"/>
      <c r="C19" s="144"/>
      <c r="D19" s="144"/>
      <c r="E19" s="144"/>
      <c r="F19" s="144"/>
      <c r="G19" s="145"/>
      <c r="H19" s="146"/>
      <c r="I19" s="144"/>
      <c r="J19" s="144"/>
    </row>
    <row r="20" spans="1:10" x14ac:dyDescent="0.3">
      <c r="A20" s="142">
        <v>16</v>
      </c>
      <c r="B20" s="143"/>
      <c r="C20" s="144"/>
      <c r="D20" s="144"/>
      <c r="E20" s="144"/>
      <c r="F20" s="144"/>
      <c r="G20" s="145"/>
      <c r="H20" s="146"/>
      <c r="I20" s="144"/>
      <c r="J20" s="144"/>
    </row>
    <row r="21" spans="1:10" x14ac:dyDescent="0.3">
      <c r="A21" s="142">
        <v>17</v>
      </c>
      <c r="B21" s="143"/>
      <c r="C21" s="144"/>
      <c r="D21" s="144"/>
      <c r="E21" s="144"/>
      <c r="F21" s="144"/>
      <c r="G21" s="145"/>
      <c r="H21" s="146"/>
      <c r="I21" s="144"/>
      <c r="J21" s="144"/>
    </row>
    <row r="22" spans="1:10" x14ac:dyDescent="0.3">
      <c r="A22" s="142">
        <v>18</v>
      </c>
      <c r="B22" s="143"/>
      <c r="C22" s="144"/>
      <c r="D22" s="144"/>
      <c r="E22" s="144"/>
      <c r="F22" s="144"/>
      <c r="G22" s="145"/>
      <c r="H22" s="146"/>
      <c r="I22" s="144"/>
      <c r="J22" s="144"/>
    </row>
    <row r="23" spans="1:10" x14ac:dyDescent="0.3">
      <c r="A23" s="142">
        <v>19</v>
      </c>
      <c r="B23" s="143"/>
      <c r="C23" s="144"/>
      <c r="D23" s="144"/>
      <c r="E23" s="144"/>
      <c r="F23" s="144"/>
      <c r="G23" s="145"/>
      <c r="H23" s="146"/>
      <c r="I23" s="144"/>
      <c r="J23" s="144"/>
    </row>
    <row r="24" spans="1:10" x14ac:dyDescent="0.3">
      <c r="A24" s="142">
        <v>20</v>
      </c>
      <c r="B24" s="143"/>
      <c r="C24" s="144"/>
      <c r="D24" s="144"/>
      <c r="E24" s="144"/>
      <c r="F24" s="144"/>
      <c r="G24" s="145"/>
      <c r="H24" s="146"/>
      <c r="I24" s="144"/>
      <c r="J24" s="144"/>
    </row>
    <row r="25" spans="1:10" x14ac:dyDescent="0.3">
      <c r="A25" s="142">
        <v>21</v>
      </c>
      <c r="B25" s="143"/>
      <c r="C25" s="144"/>
      <c r="D25" s="144"/>
      <c r="E25" s="144"/>
      <c r="F25" s="144"/>
      <c r="G25" s="145"/>
      <c r="H25" s="146"/>
      <c r="I25" s="144"/>
      <c r="J25" s="144"/>
    </row>
    <row r="26" spans="1:10" x14ac:dyDescent="0.3">
      <c r="A26" s="142">
        <v>22</v>
      </c>
      <c r="B26" s="143"/>
      <c r="C26" s="144"/>
      <c r="D26" s="144"/>
      <c r="E26" s="144"/>
      <c r="F26" s="144"/>
      <c r="G26" s="145"/>
      <c r="H26" s="146"/>
      <c r="I26" s="144"/>
      <c r="J26" s="144"/>
    </row>
    <row r="27" spans="1:10" x14ac:dyDescent="0.3">
      <c r="A27" s="142">
        <v>23</v>
      </c>
      <c r="B27" s="143"/>
      <c r="C27" s="144"/>
      <c r="D27" s="144"/>
      <c r="E27" s="144"/>
      <c r="F27" s="144"/>
      <c r="G27" s="145"/>
      <c r="H27" s="146"/>
      <c r="I27" s="144"/>
      <c r="J27" s="144"/>
    </row>
    <row r="28" spans="1:10" x14ac:dyDescent="0.3">
      <c r="A28" s="142">
        <v>24</v>
      </c>
      <c r="B28" s="143"/>
      <c r="C28" s="144"/>
      <c r="D28" s="144"/>
      <c r="E28" s="144"/>
      <c r="F28" s="144"/>
      <c r="G28" s="145"/>
      <c r="H28" s="146"/>
      <c r="I28" s="144"/>
      <c r="J28" s="144"/>
    </row>
    <row r="29" spans="1:10" x14ac:dyDescent="0.3">
      <c r="A29" s="142">
        <v>25</v>
      </c>
      <c r="B29" s="143"/>
      <c r="C29" s="144"/>
      <c r="D29" s="144"/>
      <c r="E29" s="144"/>
      <c r="F29" s="144"/>
      <c r="G29" s="145"/>
      <c r="H29" s="146"/>
      <c r="I29" s="144"/>
      <c r="J29" s="144"/>
    </row>
    <row r="30" spans="1:10" x14ac:dyDescent="0.3">
      <c r="A30" s="142">
        <v>26</v>
      </c>
      <c r="B30" s="143"/>
      <c r="C30" s="144"/>
      <c r="D30" s="144"/>
      <c r="E30" s="144"/>
      <c r="F30" s="144"/>
      <c r="G30" s="145"/>
      <c r="H30" s="146"/>
      <c r="I30" s="144"/>
      <c r="J30" s="144"/>
    </row>
    <row r="31" spans="1:10" x14ac:dyDescent="0.3">
      <c r="A31" s="142">
        <v>27</v>
      </c>
      <c r="B31" s="143"/>
      <c r="C31" s="144"/>
      <c r="D31" s="144"/>
      <c r="E31" s="144"/>
      <c r="F31" s="144"/>
      <c r="G31" s="145"/>
      <c r="H31" s="146"/>
      <c r="I31" s="144"/>
      <c r="J31" s="144"/>
    </row>
    <row r="32" spans="1:10" x14ac:dyDescent="0.3">
      <c r="A32" s="142">
        <v>28</v>
      </c>
      <c r="B32" s="143"/>
      <c r="C32" s="144"/>
      <c r="D32" s="144"/>
      <c r="E32" s="144"/>
      <c r="F32" s="144"/>
      <c r="G32" s="145"/>
      <c r="H32" s="146"/>
      <c r="I32" s="144"/>
      <c r="J32" s="144"/>
    </row>
    <row r="33" spans="1:10" x14ac:dyDescent="0.3">
      <c r="A33" s="142">
        <v>29</v>
      </c>
      <c r="B33" s="143"/>
      <c r="C33" s="144"/>
      <c r="D33" s="144"/>
      <c r="E33" s="144"/>
      <c r="F33" s="144"/>
      <c r="G33" s="145"/>
      <c r="H33" s="146"/>
      <c r="I33" s="144"/>
      <c r="J33" s="144"/>
    </row>
    <row r="34" spans="1:10" x14ac:dyDescent="0.3">
      <c r="A34" s="142">
        <v>30</v>
      </c>
      <c r="B34" s="143"/>
      <c r="C34" s="144"/>
      <c r="D34" s="144"/>
      <c r="E34" s="144"/>
      <c r="F34" s="144"/>
      <c r="G34" s="145"/>
      <c r="H34" s="146"/>
      <c r="I34" s="144"/>
      <c r="J34" s="144"/>
    </row>
    <row r="35" spans="1:10" x14ac:dyDescent="0.3">
      <c r="A35" s="142">
        <v>31</v>
      </c>
      <c r="B35" s="143"/>
      <c r="C35" s="144"/>
      <c r="D35" s="144"/>
      <c r="E35" s="144"/>
      <c r="F35" s="144"/>
      <c r="G35" s="145"/>
      <c r="H35" s="146"/>
      <c r="I35" s="144"/>
      <c r="J35" s="144"/>
    </row>
    <row r="36" spans="1:10" x14ac:dyDescent="0.3">
      <c r="A36" s="142">
        <v>32</v>
      </c>
      <c r="B36" s="143"/>
      <c r="C36" s="144"/>
      <c r="D36" s="144"/>
      <c r="E36" s="144"/>
      <c r="F36" s="144"/>
      <c r="G36" s="145"/>
      <c r="H36" s="146"/>
      <c r="I36" s="144"/>
      <c r="J36" s="144"/>
    </row>
    <row r="37" spans="1:10" x14ac:dyDescent="0.3">
      <c r="A37" s="142">
        <v>33</v>
      </c>
      <c r="B37" s="143"/>
      <c r="C37" s="144"/>
      <c r="D37" s="144"/>
      <c r="E37" s="144"/>
      <c r="F37" s="144"/>
      <c r="G37" s="145"/>
      <c r="H37" s="146"/>
      <c r="I37" s="144"/>
      <c r="J37" s="144"/>
    </row>
    <row r="38" spans="1:10" x14ac:dyDescent="0.3">
      <c r="A38" s="142">
        <v>34</v>
      </c>
      <c r="B38" s="143"/>
      <c r="C38" s="144"/>
      <c r="D38" s="144"/>
      <c r="E38" s="144"/>
      <c r="F38" s="144"/>
      <c r="G38" s="145"/>
      <c r="H38" s="146"/>
      <c r="I38" s="144"/>
      <c r="J38" s="144"/>
    </row>
    <row r="39" spans="1:10" x14ac:dyDescent="0.3">
      <c r="A39" s="142">
        <v>35</v>
      </c>
      <c r="B39" s="143"/>
      <c r="C39" s="144"/>
      <c r="D39" s="144"/>
      <c r="E39" s="144"/>
      <c r="F39" s="144"/>
      <c r="G39" s="145"/>
      <c r="H39" s="146"/>
      <c r="I39" s="144"/>
      <c r="J39" s="144"/>
    </row>
    <row r="40" spans="1:10" x14ac:dyDescent="0.3">
      <c r="A40" s="142">
        <v>36</v>
      </c>
      <c r="B40" s="143"/>
      <c r="C40" s="144"/>
      <c r="D40" s="144"/>
      <c r="E40" s="144"/>
      <c r="F40" s="144"/>
      <c r="G40" s="145"/>
      <c r="H40" s="146"/>
      <c r="I40" s="144"/>
      <c r="J40" s="144"/>
    </row>
    <row r="41" spans="1:10" x14ac:dyDescent="0.3">
      <c r="A41" s="142">
        <v>37</v>
      </c>
      <c r="B41" s="143"/>
      <c r="C41" s="144"/>
      <c r="D41" s="144"/>
      <c r="E41" s="144"/>
      <c r="F41" s="144"/>
      <c r="G41" s="145"/>
      <c r="H41" s="146"/>
      <c r="I41" s="144"/>
      <c r="J41" s="144"/>
    </row>
    <row r="42" spans="1:10" x14ac:dyDescent="0.3">
      <c r="A42" s="142">
        <v>38</v>
      </c>
      <c r="B42" s="143"/>
      <c r="C42" s="144"/>
      <c r="D42" s="144"/>
      <c r="E42" s="144"/>
      <c r="F42" s="144"/>
      <c r="G42" s="145"/>
      <c r="H42" s="146"/>
      <c r="I42" s="144"/>
      <c r="J42" s="144"/>
    </row>
    <row r="43" spans="1:10" x14ac:dyDescent="0.3">
      <c r="A43" s="142">
        <v>39</v>
      </c>
      <c r="B43" s="143"/>
      <c r="C43" s="144"/>
      <c r="D43" s="144"/>
      <c r="E43" s="144"/>
      <c r="F43" s="144"/>
      <c r="G43" s="145"/>
      <c r="H43" s="146"/>
      <c r="I43" s="144"/>
      <c r="J43" s="144"/>
    </row>
    <row r="44" spans="1:10" x14ac:dyDescent="0.3">
      <c r="A44" s="142">
        <v>40</v>
      </c>
      <c r="B44" s="143"/>
      <c r="C44" s="144"/>
      <c r="D44" s="144"/>
      <c r="E44" s="144"/>
      <c r="F44" s="144"/>
      <c r="G44" s="145"/>
      <c r="H44" s="146"/>
      <c r="I44" s="144"/>
      <c r="J44" s="144"/>
    </row>
    <row r="45" spans="1:10" x14ac:dyDescent="0.3">
      <c r="A45" s="142">
        <v>41</v>
      </c>
      <c r="B45" s="143"/>
      <c r="C45" s="144"/>
      <c r="D45" s="144"/>
      <c r="E45" s="144"/>
      <c r="F45" s="144"/>
      <c r="G45" s="145"/>
      <c r="H45" s="146"/>
      <c r="I45" s="144"/>
      <c r="J45" s="144"/>
    </row>
    <row r="46" spans="1:10" x14ac:dyDescent="0.3">
      <c r="A46" s="142">
        <v>42</v>
      </c>
      <c r="B46" s="143"/>
      <c r="C46" s="144"/>
      <c r="D46" s="144"/>
      <c r="E46" s="144"/>
      <c r="F46" s="144"/>
      <c r="G46" s="145"/>
      <c r="H46" s="146"/>
      <c r="I46" s="144"/>
      <c r="J46" s="144"/>
    </row>
    <row r="47" spans="1:10" x14ac:dyDescent="0.3">
      <c r="A47" s="142">
        <v>43</v>
      </c>
      <c r="B47" s="143"/>
      <c r="C47" s="144"/>
      <c r="D47" s="144"/>
      <c r="E47" s="144"/>
      <c r="F47" s="144"/>
      <c r="G47" s="145"/>
      <c r="H47" s="146"/>
      <c r="I47" s="144"/>
      <c r="J47" s="144"/>
    </row>
    <row r="48" spans="1:10" x14ac:dyDescent="0.3">
      <c r="A48" s="142">
        <v>44</v>
      </c>
      <c r="B48" s="143"/>
      <c r="C48" s="144"/>
      <c r="D48" s="144"/>
      <c r="E48" s="144"/>
      <c r="F48" s="144"/>
      <c r="G48" s="145"/>
      <c r="H48" s="146"/>
      <c r="I48" s="144"/>
      <c r="J48" s="144"/>
    </row>
    <row r="49" spans="1:10" x14ac:dyDescent="0.3">
      <c r="A49" s="142">
        <v>45</v>
      </c>
      <c r="B49" s="143"/>
      <c r="C49" s="144"/>
      <c r="D49" s="144"/>
      <c r="E49" s="144"/>
      <c r="F49" s="144"/>
      <c r="G49" s="145"/>
      <c r="H49" s="146"/>
      <c r="I49" s="144"/>
      <c r="J49" s="144"/>
    </row>
    <row r="50" spans="1:10" x14ac:dyDescent="0.3">
      <c r="A50" s="142">
        <v>46</v>
      </c>
      <c r="B50" s="143"/>
      <c r="C50" s="144"/>
      <c r="D50" s="144"/>
      <c r="E50" s="144"/>
      <c r="F50" s="144"/>
      <c r="G50" s="145"/>
      <c r="H50" s="146"/>
      <c r="I50" s="144"/>
      <c r="J50" s="144"/>
    </row>
    <row r="51" spans="1:10" x14ac:dyDescent="0.3">
      <c r="A51" s="142">
        <v>47</v>
      </c>
      <c r="B51" s="143"/>
      <c r="C51" s="144"/>
      <c r="D51" s="144"/>
      <c r="E51" s="144"/>
      <c r="F51" s="144"/>
      <c r="G51" s="145"/>
      <c r="H51" s="146"/>
      <c r="I51" s="144"/>
      <c r="J51" s="144"/>
    </row>
    <row r="52" spans="1:10" x14ac:dyDescent="0.3">
      <c r="A52" s="142">
        <v>48</v>
      </c>
      <c r="B52" s="143"/>
      <c r="C52" s="144"/>
      <c r="D52" s="144"/>
      <c r="E52" s="144"/>
      <c r="F52" s="144"/>
      <c r="G52" s="145"/>
      <c r="H52" s="146"/>
      <c r="I52" s="144"/>
      <c r="J52" s="144"/>
    </row>
    <row r="53" spans="1:10" x14ac:dyDescent="0.3">
      <c r="A53" s="142">
        <v>49</v>
      </c>
      <c r="B53" s="143"/>
      <c r="C53" s="144"/>
      <c r="D53" s="144"/>
      <c r="E53" s="144"/>
      <c r="F53" s="144"/>
      <c r="G53" s="145"/>
      <c r="H53" s="146"/>
      <c r="I53" s="144"/>
      <c r="J53" s="144"/>
    </row>
    <row r="54" spans="1:10" x14ac:dyDescent="0.3">
      <c r="A54" s="142">
        <v>50</v>
      </c>
      <c r="B54" s="143"/>
      <c r="C54" s="144"/>
      <c r="D54" s="144"/>
      <c r="E54" s="144"/>
      <c r="F54" s="144"/>
      <c r="G54" s="145"/>
      <c r="H54" s="146"/>
      <c r="I54" s="144"/>
      <c r="J54" s="144"/>
    </row>
    <row r="55" spans="1:10" x14ac:dyDescent="0.3">
      <c r="A55" s="142">
        <v>51</v>
      </c>
      <c r="B55" s="143"/>
      <c r="C55" s="144"/>
      <c r="D55" s="144"/>
      <c r="E55" s="144"/>
      <c r="F55" s="144"/>
      <c r="G55" s="145"/>
      <c r="H55" s="146"/>
      <c r="I55" s="144"/>
      <c r="J55" s="144"/>
    </row>
    <row r="56" spans="1:10" x14ac:dyDescent="0.3">
      <c r="A56" s="142">
        <v>52</v>
      </c>
      <c r="B56" s="143"/>
      <c r="C56" s="144"/>
      <c r="D56" s="144"/>
      <c r="E56" s="144"/>
      <c r="F56" s="144"/>
      <c r="G56" s="145"/>
      <c r="H56" s="146"/>
      <c r="I56" s="144"/>
      <c r="J56" s="144"/>
    </row>
    <row r="57" spans="1:10" x14ac:dyDescent="0.3">
      <c r="A57" s="142">
        <v>53</v>
      </c>
      <c r="B57" s="143"/>
      <c r="C57" s="144"/>
      <c r="D57" s="144"/>
      <c r="E57" s="144"/>
      <c r="F57" s="144"/>
      <c r="G57" s="145"/>
      <c r="H57" s="146"/>
      <c r="I57" s="144"/>
      <c r="J57" s="144"/>
    </row>
    <row r="58" spans="1:10" x14ac:dyDescent="0.3">
      <c r="A58" s="142">
        <v>54</v>
      </c>
      <c r="B58" s="143"/>
      <c r="C58" s="144"/>
      <c r="D58" s="144"/>
      <c r="E58" s="144"/>
      <c r="F58" s="144"/>
      <c r="G58" s="145"/>
      <c r="H58" s="146"/>
      <c r="I58" s="144"/>
      <c r="J58" s="144"/>
    </row>
    <row r="59" spans="1:10" x14ac:dyDescent="0.3">
      <c r="A59" s="142">
        <v>55</v>
      </c>
      <c r="B59" s="143"/>
      <c r="C59" s="144"/>
      <c r="D59" s="144"/>
      <c r="E59" s="144"/>
      <c r="F59" s="144"/>
      <c r="G59" s="145"/>
      <c r="H59" s="146"/>
      <c r="I59" s="144"/>
      <c r="J59" s="144"/>
    </row>
    <row r="60" spans="1:10" x14ac:dyDescent="0.3">
      <c r="A60" s="142">
        <v>56</v>
      </c>
      <c r="B60" s="143"/>
      <c r="C60" s="144"/>
      <c r="D60" s="144"/>
      <c r="E60" s="144"/>
      <c r="F60" s="144"/>
      <c r="G60" s="145"/>
      <c r="H60" s="146"/>
      <c r="I60" s="144"/>
      <c r="J60" s="144"/>
    </row>
    <row r="61" spans="1:10" x14ac:dyDescent="0.3">
      <c r="A61" s="142">
        <v>57</v>
      </c>
      <c r="B61" s="143"/>
      <c r="C61" s="144"/>
      <c r="D61" s="144"/>
      <c r="E61" s="144"/>
      <c r="F61" s="144"/>
      <c r="G61" s="145"/>
      <c r="H61" s="146"/>
      <c r="I61" s="144"/>
      <c r="J61" s="144"/>
    </row>
    <row r="62" spans="1:10" x14ac:dyDescent="0.3">
      <c r="A62" s="142">
        <v>58</v>
      </c>
      <c r="B62" s="143"/>
      <c r="C62" s="144"/>
      <c r="D62" s="144"/>
      <c r="E62" s="144"/>
      <c r="F62" s="144"/>
      <c r="G62" s="145"/>
      <c r="H62" s="146"/>
      <c r="I62" s="144"/>
      <c r="J62" s="144"/>
    </row>
    <row r="63" spans="1:10" x14ac:dyDescent="0.3">
      <c r="A63" s="142">
        <v>59</v>
      </c>
      <c r="B63" s="143"/>
      <c r="C63" s="144"/>
      <c r="D63" s="144"/>
      <c r="E63" s="144"/>
      <c r="F63" s="144"/>
      <c r="G63" s="145"/>
      <c r="H63" s="146"/>
      <c r="I63" s="144"/>
      <c r="J63" s="144"/>
    </row>
    <row r="64" spans="1:10" x14ac:dyDescent="0.3">
      <c r="A64" s="142">
        <v>60</v>
      </c>
      <c r="B64" s="143"/>
      <c r="C64" s="144"/>
      <c r="D64" s="144"/>
      <c r="E64" s="144"/>
      <c r="F64" s="144"/>
      <c r="G64" s="145"/>
      <c r="H64" s="146"/>
      <c r="I64" s="144"/>
      <c r="J64" s="144"/>
    </row>
    <row r="65" spans="1:10" x14ac:dyDescent="0.3">
      <c r="A65" s="142">
        <v>61</v>
      </c>
      <c r="B65" s="143"/>
      <c r="C65" s="144"/>
      <c r="D65" s="144"/>
      <c r="E65" s="144"/>
      <c r="F65" s="144"/>
      <c r="G65" s="145"/>
      <c r="H65" s="146"/>
      <c r="I65" s="144"/>
      <c r="J65" s="144"/>
    </row>
    <row r="66" spans="1:10" x14ac:dyDescent="0.3">
      <c r="A66" s="142">
        <v>62</v>
      </c>
      <c r="B66" s="143"/>
      <c r="C66" s="144"/>
      <c r="D66" s="144"/>
      <c r="E66" s="144"/>
      <c r="F66" s="144"/>
      <c r="G66" s="145"/>
      <c r="H66" s="146"/>
      <c r="I66" s="144"/>
      <c r="J66" s="144"/>
    </row>
    <row r="67" spans="1:10" x14ac:dyDescent="0.3">
      <c r="A67" s="142">
        <v>63</v>
      </c>
      <c r="B67" s="143"/>
      <c r="C67" s="144"/>
      <c r="D67" s="144"/>
      <c r="E67" s="144"/>
      <c r="F67" s="144"/>
      <c r="G67" s="145"/>
      <c r="H67" s="146"/>
      <c r="I67" s="144"/>
      <c r="J67" s="144"/>
    </row>
    <row r="68" spans="1:10" x14ac:dyDescent="0.3">
      <c r="A68" s="142">
        <v>64</v>
      </c>
      <c r="B68" s="143"/>
      <c r="C68" s="144"/>
      <c r="D68" s="144"/>
      <c r="E68" s="144"/>
      <c r="F68" s="144"/>
      <c r="G68" s="145"/>
      <c r="H68" s="146"/>
      <c r="I68" s="144"/>
      <c r="J68" s="144"/>
    </row>
    <row r="69" spans="1:10" x14ac:dyDescent="0.3">
      <c r="A69" s="142">
        <v>65</v>
      </c>
      <c r="B69" s="143"/>
      <c r="C69" s="144"/>
      <c r="D69" s="144"/>
      <c r="E69" s="144"/>
      <c r="F69" s="144"/>
      <c r="G69" s="145"/>
      <c r="H69" s="146"/>
      <c r="I69" s="144"/>
      <c r="J69" s="144"/>
    </row>
    <row r="70" spans="1:10" x14ac:dyDescent="0.3">
      <c r="A70" s="142">
        <v>66</v>
      </c>
      <c r="B70" s="143"/>
      <c r="C70" s="144"/>
      <c r="D70" s="144"/>
      <c r="E70" s="144"/>
      <c r="F70" s="144"/>
      <c r="G70" s="145"/>
      <c r="H70" s="146"/>
      <c r="I70" s="144"/>
      <c r="J70" s="144"/>
    </row>
    <row r="71" spans="1:10" x14ac:dyDescent="0.3">
      <c r="A71" s="142">
        <v>67</v>
      </c>
      <c r="B71" s="143"/>
      <c r="C71" s="144"/>
      <c r="D71" s="144"/>
      <c r="E71" s="144"/>
      <c r="F71" s="144"/>
      <c r="G71" s="145"/>
      <c r="H71" s="146"/>
      <c r="I71" s="144"/>
      <c r="J71" s="144"/>
    </row>
    <row r="72" spans="1:10" x14ac:dyDescent="0.3">
      <c r="A72" s="142">
        <v>68</v>
      </c>
      <c r="B72" s="143"/>
      <c r="C72" s="144"/>
      <c r="D72" s="144"/>
      <c r="E72" s="144"/>
      <c r="F72" s="144"/>
      <c r="G72" s="145"/>
      <c r="H72" s="146"/>
      <c r="I72" s="144"/>
      <c r="J72" s="144"/>
    </row>
    <row r="73" spans="1:10" x14ac:dyDescent="0.3">
      <c r="A73" s="142">
        <v>69</v>
      </c>
      <c r="B73" s="143"/>
      <c r="C73" s="144"/>
      <c r="D73" s="144"/>
      <c r="E73" s="144"/>
      <c r="F73" s="144"/>
      <c r="G73" s="145"/>
      <c r="H73" s="146"/>
      <c r="I73" s="144"/>
      <c r="J73" s="144"/>
    </row>
    <row r="74" spans="1:10" x14ac:dyDescent="0.3">
      <c r="A74" s="142">
        <v>70</v>
      </c>
      <c r="B74" s="143"/>
      <c r="C74" s="144"/>
      <c r="D74" s="144"/>
      <c r="E74" s="144"/>
      <c r="F74" s="144"/>
      <c r="G74" s="145"/>
      <c r="H74" s="146"/>
      <c r="I74" s="144"/>
      <c r="J74" s="144"/>
    </row>
    <row r="75" spans="1:10" x14ac:dyDescent="0.3">
      <c r="A75" s="142">
        <v>71</v>
      </c>
      <c r="B75" s="143"/>
      <c r="C75" s="144"/>
      <c r="D75" s="144"/>
      <c r="E75" s="144"/>
      <c r="F75" s="144"/>
      <c r="G75" s="145"/>
      <c r="H75" s="146"/>
      <c r="I75" s="144"/>
      <c r="J75" s="144"/>
    </row>
    <row r="76" spans="1:10" x14ac:dyDescent="0.3">
      <c r="A76" s="142">
        <v>72</v>
      </c>
      <c r="B76" s="143"/>
      <c r="C76" s="144"/>
      <c r="D76" s="144"/>
      <c r="E76" s="144"/>
      <c r="F76" s="144"/>
      <c r="G76" s="145"/>
      <c r="H76" s="146"/>
      <c r="I76" s="144"/>
      <c r="J76" s="144"/>
    </row>
    <row r="77" spans="1:10" x14ac:dyDescent="0.3">
      <c r="A77" s="142">
        <v>73</v>
      </c>
      <c r="B77" s="143"/>
      <c r="C77" s="144"/>
      <c r="D77" s="144"/>
      <c r="E77" s="144"/>
      <c r="F77" s="144"/>
      <c r="G77" s="145"/>
      <c r="H77" s="146"/>
      <c r="I77" s="144"/>
      <c r="J77" s="144"/>
    </row>
    <row r="78" spans="1:10" x14ac:dyDescent="0.3">
      <c r="A78" s="142">
        <v>74</v>
      </c>
      <c r="B78" s="143"/>
      <c r="C78" s="144"/>
      <c r="D78" s="144"/>
      <c r="E78" s="144"/>
      <c r="F78" s="144"/>
      <c r="G78" s="145"/>
      <c r="H78" s="146"/>
      <c r="I78" s="144"/>
      <c r="J78" s="144"/>
    </row>
    <row r="79" spans="1:10" x14ac:dyDescent="0.3">
      <c r="A79" s="142">
        <v>75</v>
      </c>
      <c r="B79" s="143"/>
      <c r="C79" s="144"/>
      <c r="D79" s="144"/>
      <c r="E79" s="144"/>
      <c r="F79" s="144"/>
      <c r="G79" s="145"/>
      <c r="H79" s="146"/>
      <c r="I79" s="144"/>
      <c r="J79" s="144"/>
    </row>
    <row r="80" spans="1:10" x14ac:dyDescent="0.3">
      <c r="A80" s="142">
        <v>76</v>
      </c>
      <c r="B80" s="143"/>
      <c r="C80" s="144"/>
      <c r="D80" s="144"/>
      <c r="E80" s="144"/>
      <c r="F80" s="144"/>
      <c r="G80" s="145"/>
      <c r="H80" s="146"/>
      <c r="I80" s="144"/>
      <c r="J80" s="144"/>
    </row>
    <row r="81" spans="1:10" x14ac:dyDescent="0.3">
      <c r="A81" s="142">
        <v>77</v>
      </c>
      <c r="B81" s="143"/>
      <c r="C81" s="144"/>
      <c r="D81" s="144"/>
      <c r="E81" s="144"/>
      <c r="F81" s="144"/>
      <c r="G81" s="145"/>
      <c r="H81" s="146"/>
      <c r="I81" s="144"/>
      <c r="J81" s="144"/>
    </row>
    <row r="82" spans="1:10" x14ac:dyDescent="0.3">
      <c r="A82" s="142">
        <v>78</v>
      </c>
      <c r="B82" s="143"/>
      <c r="C82" s="144"/>
      <c r="D82" s="144"/>
      <c r="E82" s="144"/>
      <c r="F82" s="144"/>
      <c r="G82" s="145"/>
      <c r="H82" s="146"/>
      <c r="I82" s="144"/>
      <c r="J82" s="144"/>
    </row>
    <row r="83" spans="1:10" x14ac:dyDescent="0.3">
      <c r="A83" s="142">
        <v>79</v>
      </c>
      <c r="B83" s="143"/>
      <c r="C83" s="144"/>
      <c r="D83" s="144"/>
      <c r="E83" s="144"/>
      <c r="F83" s="144"/>
      <c r="G83" s="145"/>
      <c r="H83" s="146"/>
      <c r="I83" s="144"/>
      <c r="J83" s="144"/>
    </row>
    <row r="84" spans="1:10" x14ac:dyDescent="0.3">
      <c r="A84" s="142">
        <v>80</v>
      </c>
      <c r="B84" s="143"/>
      <c r="C84" s="144"/>
      <c r="D84" s="144"/>
      <c r="E84" s="144"/>
      <c r="F84" s="144"/>
      <c r="G84" s="145"/>
      <c r="H84" s="146"/>
      <c r="I84" s="144"/>
      <c r="J84" s="144"/>
    </row>
    <row r="85" spans="1:10" x14ac:dyDescent="0.3">
      <c r="A85" s="142">
        <v>81</v>
      </c>
      <c r="B85" s="143"/>
      <c r="C85" s="144"/>
      <c r="D85" s="144"/>
      <c r="E85" s="144"/>
      <c r="F85" s="144"/>
      <c r="G85" s="145"/>
      <c r="H85" s="146"/>
      <c r="I85" s="144"/>
      <c r="J85" s="144"/>
    </row>
    <row r="86" spans="1:10" x14ac:dyDescent="0.3">
      <c r="A86" s="142">
        <v>82</v>
      </c>
      <c r="B86" s="143"/>
      <c r="C86" s="144"/>
      <c r="D86" s="144"/>
      <c r="E86" s="144"/>
      <c r="F86" s="144"/>
      <c r="G86" s="145"/>
      <c r="H86" s="146"/>
      <c r="I86" s="144"/>
      <c r="J86" s="144"/>
    </row>
    <row r="87" spans="1:10" x14ac:dyDescent="0.3">
      <c r="A87" s="142">
        <v>83</v>
      </c>
      <c r="B87" s="143"/>
      <c r="C87" s="144"/>
      <c r="D87" s="144"/>
      <c r="E87" s="144"/>
      <c r="F87" s="144"/>
      <c r="G87" s="145"/>
      <c r="H87" s="146"/>
      <c r="I87" s="144"/>
      <c r="J87" s="144"/>
    </row>
    <row r="88" spans="1:10" x14ac:dyDescent="0.3">
      <c r="A88" s="142">
        <v>84</v>
      </c>
      <c r="B88" s="143"/>
      <c r="C88" s="144"/>
      <c r="D88" s="144"/>
      <c r="E88" s="144"/>
      <c r="F88" s="144"/>
      <c r="G88" s="145"/>
      <c r="H88" s="146"/>
      <c r="I88" s="144"/>
      <c r="J88" s="144"/>
    </row>
    <row r="89" spans="1:10" x14ac:dyDescent="0.3">
      <c r="A89" s="142">
        <v>85</v>
      </c>
      <c r="B89" s="143"/>
      <c r="C89" s="144"/>
      <c r="D89" s="144"/>
      <c r="E89" s="144"/>
      <c r="F89" s="144"/>
      <c r="G89" s="145"/>
      <c r="H89" s="146"/>
      <c r="I89" s="144"/>
      <c r="J89" s="144"/>
    </row>
    <row r="90" spans="1:10" x14ac:dyDescent="0.3">
      <c r="A90" s="142">
        <v>86</v>
      </c>
      <c r="B90" s="143"/>
      <c r="C90" s="144"/>
      <c r="D90" s="144"/>
      <c r="E90" s="144"/>
      <c r="F90" s="144"/>
      <c r="G90" s="145"/>
      <c r="H90" s="146"/>
      <c r="I90" s="144"/>
      <c r="J90" s="144"/>
    </row>
    <row r="91" spans="1:10" x14ac:dyDescent="0.3">
      <c r="A91" s="142">
        <v>87</v>
      </c>
      <c r="B91" s="143"/>
      <c r="C91" s="144"/>
      <c r="D91" s="144"/>
      <c r="E91" s="144"/>
      <c r="F91" s="144"/>
      <c r="G91" s="145"/>
      <c r="H91" s="146"/>
      <c r="I91" s="144"/>
      <c r="J91" s="144"/>
    </row>
    <row r="92" spans="1:10" x14ac:dyDescent="0.3">
      <c r="A92" s="142">
        <v>88</v>
      </c>
      <c r="B92" s="143"/>
      <c r="C92" s="144"/>
      <c r="D92" s="144"/>
      <c r="E92" s="144"/>
      <c r="F92" s="144"/>
      <c r="G92" s="145"/>
      <c r="H92" s="146"/>
      <c r="I92" s="144"/>
      <c r="J92" s="144"/>
    </row>
    <row r="93" spans="1:10" x14ac:dyDescent="0.3">
      <c r="A93" s="142">
        <v>89</v>
      </c>
      <c r="B93" s="143"/>
      <c r="C93" s="144"/>
      <c r="D93" s="144"/>
      <c r="E93" s="144"/>
      <c r="F93" s="144"/>
      <c r="G93" s="145"/>
      <c r="H93" s="146"/>
      <c r="I93" s="144"/>
      <c r="J93" s="144"/>
    </row>
    <row r="94" spans="1:10" x14ac:dyDescent="0.3">
      <c r="A94" s="142">
        <v>90</v>
      </c>
      <c r="B94" s="143"/>
      <c r="C94" s="144"/>
      <c r="D94" s="144"/>
      <c r="E94" s="144"/>
      <c r="F94" s="144"/>
      <c r="G94" s="145"/>
      <c r="H94" s="146"/>
      <c r="I94" s="144"/>
      <c r="J94" s="144"/>
    </row>
    <row r="95" spans="1:10" x14ac:dyDescent="0.3">
      <c r="A95" s="142">
        <v>91</v>
      </c>
      <c r="B95" s="143"/>
      <c r="C95" s="144"/>
      <c r="D95" s="144"/>
      <c r="E95" s="144"/>
      <c r="F95" s="144"/>
      <c r="G95" s="145"/>
      <c r="H95" s="146"/>
      <c r="I95" s="144"/>
      <c r="J95" s="144"/>
    </row>
    <row r="96" spans="1:10" x14ac:dyDescent="0.3">
      <c r="A96" s="142">
        <v>92</v>
      </c>
      <c r="B96" s="143"/>
      <c r="C96" s="144"/>
      <c r="D96" s="144"/>
      <c r="E96" s="144"/>
      <c r="F96" s="144"/>
      <c r="G96" s="145"/>
      <c r="H96" s="146"/>
      <c r="I96" s="144"/>
      <c r="J96" s="144"/>
    </row>
    <row r="97" spans="1:10" x14ac:dyDescent="0.3">
      <c r="A97" s="142">
        <v>93</v>
      </c>
      <c r="B97" s="143"/>
      <c r="C97" s="144"/>
      <c r="D97" s="144"/>
      <c r="E97" s="144"/>
      <c r="F97" s="144"/>
      <c r="G97" s="145"/>
      <c r="H97" s="146"/>
      <c r="I97" s="144"/>
      <c r="J97" s="144"/>
    </row>
    <row r="98" spans="1:10" x14ac:dyDescent="0.3">
      <c r="A98" s="142">
        <v>94</v>
      </c>
      <c r="B98" s="143"/>
      <c r="C98" s="144"/>
      <c r="D98" s="144"/>
      <c r="E98" s="144"/>
      <c r="F98" s="144"/>
      <c r="G98" s="145"/>
      <c r="H98" s="146"/>
      <c r="I98" s="144"/>
      <c r="J98" s="144"/>
    </row>
    <row r="99" spans="1:10" x14ac:dyDescent="0.3">
      <c r="A99" s="142">
        <v>95</v>
      </c>
      <c r="B99" s="143"/>
      <c r="C99" s="144"/>
      <c r="D99" s="144"/>
      <c r="E99" s="144"/>
      <c r="F99" s="144"/>
      <c r="G99" s="145"/>
      <c r="H99" s="146"/>
      <c r="I99" s="144"/>
      <c r="J99" s="144"/>
    </row>
    <row r="100" spans="1:10" x14ac:dyDescent="0.3">
      <c r="A100" s="142">
        <v>96</v>
      </c>
      <c r="B100" s="143"/>
      <c r="C100" s="144"/>
      <c r="D100" s="144"/>
      <c r="E100" s="144"/>
      <c r="F100" s="144"/>
      <c r="G100" s="145"/>
      <c r="H100" s="146"/>
      <c r="I100" s="144"/>
      <c r="J100" s="144"/>
    </row>
    <row r="101" spans="1:10" x14ac:dyDescent="0.3">
      <c r="A101" s="142">
        <v>97</v>
      </c>
      <c r="B101" s="143"/>
      <c r="C101" s="144"/>
      <c r="D101" s="144"/>
      <c r="E101" s="144"/>
      <c r="F101" s="144"/>
      <c r="G101" s="145"/>
      <c r="H101" s="146"/>
      <c r="I101" s="144"/>
      <c r="J101" s="144"/>
    </row>
    <row r="102" spans="1:10" x14ac:dyDescent="0.3">
      <c r="A102" s="142">
        <v>98</v>
      </c>
      <c r="B102" s="143"/>
      <c r="C102" s="144"/>
      <c r="D102" s="144"/>
      <c r="E102" s="144"/>
      <c r="F102" s="144"/>
      <c r="G102" s="145"/>
      <c r="H102" s="146"/>
      <c r="I102" s="144"/>
      <c r="J102" s="144"/>
    </row>
    <row r="103" spans="1:10" x14ac:dyDescent="0.3">
      <c r="A103" s="142">
        <v>99</v>
      </c>
      <c r="B103" s="143"/>
      <c r="C103" s="144"/>
      <c r="D103" s="144"/>
      <c r="E103" s="144"/>
      <c r="F103" s="144"/>
      <c r="G103" s="145"/>
      <c r="H103" s="146"/>
      <c r="I103" s="144"/>
      <c r="J103" s="144"/>
    </row>
    <row r="104" spans="1:10" x14ac:dyDescent="0.3">
      <c r="A104" s="142">
        <v>100</v>
      </c>
      <c r="B104" s="143"/>
      <c r="C104" s="144"/>
      <c r="D104" s="144"/>
      <c r="E104" s="144"/>
      <c r="F104" s="144"/>
      <c r="G104" s="145"/>
      <c r="H104" s="146"/>
      <c r="I104" s="144"/>
      <c r="J104" s="144"/>
    </row>
  </sheetData>
  <mergeCells count="1">
    <mergeCell ref="A3:H3"/>
  </mergeCells>
  <conditionalFormatting sqref="H5:H104">
    <cfRule type="cellIs" dxfId="1" priority="1" operator="equal">
      <formula>"Resolved"</formula>
    </cfRule>
    <cfRule type="cellIs" dxfId="0" priority="2" operator="equal">
      <formula>"Pending"</formula>
    </cfRule>
    <cfRule type="iconSet" priority="3">
      <iconSet iconSet="3Flags">
        <cfvo type="percent" val="0"/>
        <cfvo type="percent" val="33"/>
        <cfvo type="percent" val="67"/>
      </iconSet>
    </cfRule>
  </conditionalFormatting>
  <dataValidations count="3">
    <dataValidation type="list" allowBlank="1" showInputMessage="1" showErrorMessage="1" sqref="H5:H1048576" xr:uid="{00000000-0002-0000-0500-000000000000}">
      <formula1>"In progress, Complete"</formula1>
    </dataValidation>
    <dataValidation type="list" allowBlank="1" showInputMessage="1" showErrorMessage="1" sqref="G5:G1048576" xr:uid="{00000000-0002-0000-0500-000001000000}">
      <formula1>"Low, Standard, Urgent"</formula1>
    </dataValidation>
    <dataValidation type="list" allowBlank="1" showInputMessage="1" showErrorMessage="1" sqref="F5:F1048576 F1:F2" xr:uid="{00000000-0002-0000-0500-000002000000}">
      <formula1>"New request, Spec change, Error, Other"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2E4052"/>
    <pageSetUpPr fitToPage="1"/>
  </sheetPr>
  <dimension ref="A1:E67"/>
  <sheetViews>
    <sheetView showGridLines="0" zoomScaleNormal="100" workbookViewId="0">
      <selection activeCell="A22" sqref="A22"/>
    </sheetView>
  </sheetViews>
  <sheetFormatPr defaultColWidth="9.1796875" defaultRowHeight="13" x14ac:dyDescent="0.3"/>
  <cols>
    <col min="1" max="1" width="56.54296875" style="77" customWidth="1"/>
    <col min="2" max="2" width="56.453125" style="77" customWidth="1"/>
    <col min="3" max="3" width="22.81640625" style="77" customWidth="1"/>
    <col min="4" max="4" width="28.453125" style="77" customWidth="1"/>
    <col min="5" max="5" width="9.1796875" style="77" customWidth="1"/>
    <col min="6" max="16384" width="9.1796875" style="77"/>
  </cols>
  <sheetData>
    <row r="1" spans="1:5" s="79" customFormat="1" ht="13.5" customHeight="1" thickBot="1" x14ac:dyDescent="0.35">
      <c r="A1" s="197" t="s">
        <v>1096</v>
      </c>
      <c r="B1" s="198"/>
      <c r="C1" s="199"/>
      <c r="D1" s="77" t="s">
        <v>1097</v>
      </c>
      <c r="E1" s="78" t="s">
        <v>1097</v>
      </c>
    </row>
    <row r="2" spans="1:5" x14ac:dyDescent="0.3">
      <c r="A2" s="80" t="s">
        <v>1098</v>
      </c>
    </row>
    <row r="3" spans="1:5" x14ac:dyDescent="0.3">
      <c r="A3" s="80"/>
    </row>
    <row r="4" spans="1:5" x14ac:dyDescent="0.3">
      <c r="A4" s="98" t="s">
        <v>1099</v>
      </c>
      <c r="B4" s="98" t="s">
        <v>1100</v>
      </c>
      <c r="C4" s="99"/>
    </row>
    <row r="5" spans="1:5" x14ac:dyDescent="0.3">
      <c r="A5" s="98" t="s">
        <v>1101</v>
      </c>
      <c r="B5" s="98" t="s">
        <v>49</v>
      </c>
      <c r="C5" s="99"/>
    </row>
    <row r="7" spans="1:5" x14ac:dyDescent="0.3">
      <c r="A7" s="200" t="s">
        <v>1102</v>
      </c>
      <c r="B7" s="189"/>
      <c r="C7" s="166"/>
    </row>
    <row r="8" spans="1:5" ht="25.5" customHeight="1" x14ac:dyDescent="0.3">
      <c r="A8" s="96" t="s">
        <v>1103</v>
      </c>
      <c r="B8" s="96" t="s">
        <v>1104</v>
      </c>
      <c r="C8" s="97" t="s">
        <v>1105</v>
      </c>
    </row>
    <row r="9" spans="1:5" x14ac:dyDescent="0.3">
      <c r="A9" s="100" t="s">
        <v>1106</v>
      </c>
      <c r="B9" s="100" t="s">
        <v>1107</v>
      </c>
      <c r="C9" s="101">
        <v>50</v>
      </c>
    </row>
    <row r="10" spans="1:5" x14ac:dyDescent="0.3">
      <c r="A10" s="100" t="s">
        <v>1108</v>
      </c>
      <c r="B10" s="100" t="s">
        <v>1109</v>
      </c>
      <c r="C10" s="101">
        <v>50</v>
      </c>
    </row>
    <row r="11" spans="1:5" x14ac:dyDescent="0.3">
      <c r="A11" s="81"/>
      <c r="B11" s="82" t="s">
        <v>1110</v>
      </c>
      <c r="C11" s="82">
        <f>SUM(C9:C10)</f>
        <v>100</v>
      </c>
    </row>
    <row r="12" spans="1:5" x14ac:dyDescent="0.3">
      <c r="B12" s="83"/>
      <c r="C12" s="83"/>
    </row>
    <row r="13" spans="1:5" x14ac:dyDescent="0.3">
      <c r="A13" s="196" t="s">
        <v>1111</v>
      </c>
      <c r="B13" s="189"/>
      <c r="C13" s="166"/>
    </row>
    <row r="14" spans="1:5" ht="25.5" customHeight="1" x14ac:dyDescent="0.3">
      <c r="A14" s="102" t="s">
        <v>1103</v>
      </c>
      <c r="B14" s="102" t="s">
        <v>1104</v>
      </c>
      <c r="C14" s="103" t="s">
        <v>1105</v>
      </c>
    </row>
    <row r="15" spans="1:5" x14ac:dyDescent="0.3">
      <c r="A15" s="84"/>
      <c r="B15" s="84"/>
      <c r="C15" s="85"/>
    </row>
    <row r="16" spans="1:5" x14ac:dyDescent="0.3">
      <c r="A16" s="84"/>
      <c r="B16" s="84"/>
      <c r="C16" s="85"/>
    </row>
    <row r="17" spans="1:3" x14ac:dyDescent="0.3">
      <c r="A17" s="84"/>
      <c r="B17" s="84"/>
      <c r="C17" s="85"/>
    </row>
    <row r="18" spans="1:3" x14ac:dyDescent="0.3">
      <c r="A18" s="84"/>
      <c r="B18" s="84"/>
      <c r="C18" s="85"/>
    </row>
    <row r="19" spans="1:3" x14ac:dyDescent="0.3">
      <c r="A19" s="84"/>
      <c r="B19" s="84"/>
      <c r="C19" s="85"/>
    </row>
    <row r="20" spans="1:3" x14ac:dyDescent="0.3">
      <c r="A20" s="84"/>
      <c r="B20" s="84"/>
      <c r="C20" s="85"/>
    </row>
    <row r="21" spans="1:3" x14ac:dyDescent="0.3">
      <c r="A21" s="84"/>
      <c r="B21" s="84"/>
      <c r="C21" s="85"/>
    </row>
    <row r="22" spans="1:3" x14ac:dyDescent="0.3">
      <c r="A22" s="84"/>
      <c r="B22" s="84"/>
      <c r="C22" s="85"/>
    </row>
    <row r="23" spans="1:3" x14ac:dyDescent="0.3">
      <c r="A23" s="84"/>
      <c r="B23" s="84"/>
      <c r="C23" s="85"/>
    </row>
    <row r="24" spans="1:3" x14ac:dyDescent="0.3">
      <c r="A24" s="84"/>
      <c r="B24" s="84"/>
      <c r="C24" s="85"/>
    </row>
    <row r="25" spans="1:3" x14ac:dyDescent="0.3">
      <c r="B25" s="83" t="s">
        <v>1110</v>
      </c>
      <c r="C25" s="83">
        <f>SUM(C15:C24)</f>
        <v>0</v>
      </c>
    </row>
    <row r="27" spans="1:3" x14ac:dyDescent="0.3">
      <c r="A27" s="196" t="s">
        <v>1112</v>
      </c>
      <c r="B27" s="189"/>
      <c r="C27" s="166"/>
    </row>
    <row r="28" spans="1:3" ht="25.5" customHeight="1" x14ac:dyDescent="0.3">
      <c r="A28" s="104" t="s">
        <v>1103</v>
      </c>
      <c r="B28" s="104" t="s">
        <v>1104</v>
      </c>
      <c r="C28" s="105" t="s">
        <v>1105</v>
      </c>
    </row>
    <row r="29" spans="1:3" x14ac:dyDescent="0.3">
      <c r="A29" s="84"/>
      <c r="B29" s="84"/>
      <c r="C29" s="85"/>
    </row>
    <row r="30" spans="1:3" x14ac:dyDescent="0.3">
      <c r="A30" s="84"/>
      <c r="B30" s="84"/>
      <c r="C30" s="85"/>
    </row>
    <row r="31" spans="1:3" x14ac:dyDescent="0.3">
      <c r="A31" s="84"/>
      <c r="B31" s="84"/>
      <c r="C31" s="85"/>
    </row>
    <row r="32" spans="1:3" x14ac:dyDescent="0.3">
      <c r="A32" s="84"/>
      <c r="B32" s="84"/>
      <c r="C32" s="85"/>
    </row>
    <row r="33" spans="1:3" x14ac:dyDescent="0.3">
      <c r="A33" s="84"/>
      <c r="B33" s="84"/>
      <c r="C33" s="85"/>
    </row>
    <row r="34" spans="1:3" x14ac:dyDescent="0.3">
      <c r="A34" s="84"/>
      <c r="B34" s="84"/>
      <c r="C34" s="85"/>
    </row>
    <row r="35" spans="1:3" x14ac:dyDescent="0.3">
      <c r="A35" s="84"/>
      <c r="B35" s="84"/>
      <c r="C35" s="85"/>
    </row>
    <row r="36" spans="1:3" x14ac:dyDescent="0.3">
      <c r="A36" s="84"/>
      <c r="B36" s="84"/>
      <c r="C36" s="85"/>
    </row>
    <row r="37" spans="1:3" x14ac:dyDescent="0.3">
      <c r="A37" s="84"/>
      <c r="B37" s="84"/>
      <c r="C37" s="85"/>
    </row>
    <row r="38" spans="1:3" x14ac:dyDescent="0.3">
      <c r="A38" s="84"/>
      <c r="B38" s="84"/>
      <c r="C38" s="85"/>
    </row>
    <row r="39" spans="1:3" x14ac:dyDescent="0.3">
      <c r="B39" s="83" t="s">
        <v>1110</v>
      </c>
      <c r="C39" s="83">
        <f>SUM(C29:C38)</f>
        <v>0</v>
      </c>
    </row>
    <row r="41" spans="1:3" x14ac:dyDescent="0.3">
      <c r="A41" s="196" t="s">
        <v>1113</v>
      </c>
      <c r="B41" s="189"/>
      <c r="C41" s="166"/>
    </row>
    <row r="42" spans="1:3" ht="25.5" customHeight="1" x14ac:dyDescent="0.3">
      <c r="A42" s="104" t="s">
        <v>1103</v>
      </c>
      <c r="B42" s="104" t="s">
        <v>1104</v>
      </c>
      <c r="C42" s="105" t="s">
        <v>1105</v>
      </c>
    </row>
    <row r="43" spans="1:3" x14ac:dyDescent="0.3">
      <c r="A43" s="84"/>
      <c r="B43" s="84"/>
      <c r="C43" s="85"/>
    </row>
    <row r="44" spans="1:3" x14ac:dyDescent="0.3">
      <c r="A44" s="84"/>
      <c r="B44" s="84"/>
      <c r="C44" s="85"/>
    </row>
    <row r="45" spans="1:3" x14ac:dyDescent="0.3">
      <c r="A45" s="84"/>
      <c r="B45" s="84"/>
      <c r="C45" s="85"/>
    </row>
    <row r="46" spans="1:3" x14ac:dyDescent="0.3">
      <c r="A46" s="84"/>
      <c r="B46" s="84"/>
      <c r="C46" s="85"/>
    </row>
    <row r="47" spans="1:3" x14ac:dyDescent="0.3">
      <c r="A47" s="84"/>
      <c r="B47" s="84"/>
      <c r="C47" s="85"/>
    </row>
    <row r="48" spans="1:3" x14ac:dyDescent="0.3">
      <c r="A48" s="84"/>
      <c r="B48" s="84"/>
      <c r="C48" s="85"/>
    </row>
    <row r="49" spans="1:3" x14ac:dyDescent="0.3">
      <c r="A49" s="84"/>
      <c r="B49" s="84"/>
      <c r="C49" s="85"/>
    </row>
    <row r="50" spans="1:3" x14ac:dyDescent="0.3">
      <c r="A50" s="84"/>
      <c r="B50" s="84"/>
      <c r="C50" s="85"/>
    </row>
    <row r="51" spans="1:3" x14ac:dyDescent="0.3">
      <c r="A51" s="84"/>
      <c r="B51" s="84"/>
      <c r="C51" s="85"/>
    </row>
    <row r="52" spans="1:3" x14ac:dyDescent="0.3">
      <c r="A52" s="84"/>
      <c r="B52" s="84"/>
      <c r="C52" s="85"/>
    </row>
    <row r="53" spans="1:3" x14ac:dyDescent="0.3">
      <c r="B53" s="83" t="s">
        <v>1110</v>
      </c>
      <c r="C53" s="83">
        <f>SUM(C43:C52)</f>
        <v>0</v>
      </c>
    </row>
    <row r="55" spans="1:3" x14ac:dyDescent="0.3">
      <c r="A55" s="196" t="s">
        <v>1114</v>
      </c>
      <c r="B55" s="189"/>
      <c r="C55" s="166"/>
    </row>
    <row r="56" spans="1:3" ht="25.5" customHeight="1" x14ac:dyDescent="0.3">
      <c r="A56" s="104" t="s">
        <v>1103</v>
      </c>
      <c r="B56" s="104" t="s">
        <v>1104</v>
      </c>
      <c r="C56" s="105" t="s">
        <v>1105</v>
      </c>
    </row>
    <row r="57" spans="1:3" x14ac:dyDescent="0.3">
      <c r="A57" s="84"/>
      <c r="B57" s="84"/>
      <c r="C57" s="85"/>
    </row>
    <row r="58" spans="1:3" x14ac:dyDescent="0.3">
      <c r="A58" s="84"/>
      <c r="B58" s="84"/>
      <c r="C58" s="85"/>
    </row>
    <row r="59" spans="1:3" x14ac:dyDescent="0.3">
      <c r="A59" s="84"/>
      <c r="B59" s="84"/>
      <c r="C59" s="85"/>
    </row>
    <row r="60" spans="1:3" x14ac:dyDescent="0.3">
      <c r="A60" s="84"/>
      <c r="B60" s="84"/>
      <c r="C60" s="85"/>
    </row>
    <row r="61" spans="1:3" x14ac:dyDescent="0.3">
      <c r="A61" s="84"/>
      <c r="B61" s="84"/>
      <c r="C61" s="85"/>
    </row>
    <row r="62" spans="1:3" x14ac:dyDescent="0.3">
      <c r="A62" s="84"/>
      <c r="B62" s="84"/>
      <c r="C62" s="85"/>
    </row>
    <row r="63" spans="1:3" x14ac:dyDescent="0.3">
      <c r="A63" s="84"/>
      <c r="B63" s="84"/>
      <c r="C63" s="85"/>
    </row>
    <row r="64" spans="1:3" x14ac:dyDescent="0.3">
      <c r="A64" s="84"/>
      <c r="B64" s="84"/>
      <c r="C64" s="85"/>
    </row>
    <row r="65" spans="1:3" x14ac:dyDescent="0.3">
      <c r="A65" s="84"/>
      <c r="B65" s="84"/>
      <c r="C65" s="85"/>
    </row>
    <row r="66" spans="1:3" x14ac:dyDescent="0.3">
      <c r="A66" s="84"/>
      <c r="B66" s="84"/>
      <c r="C66" s="85"/>
    </row>
    <row r="67" spans="1:3" x14ac:dyDescent="0.3">
      <c r="B67" s="83" t="s">
        <v>1110</v>
      </c>
      <c r="C67" s="83">
        <f>SUM(C57:C66)</f>
        <v>0</v>
      </c>
    </row>
  </sheetData>
  <mergeCells count="6">
    <mergeCell ref="A55:C55"/>
    <mergeCell ref="A1:C1"/>
    <mergeCell ref="A7:C7"/>
    <mergeCell ref="A13:C13"/>
    <mergeCell ref="A27:C27"/>
    <mergeCell ref="A41:C41"/>
  </mergeCells>
  <dataValidations count="2">
    <dataValidation type="list" allowBlank="1" showInputMessage="1" showErrorMessage="1" sqref="B5" xr:uid="{00000000-0002-0000-0600-000000000000}">
      <formula1>"No, Yes"</formula1>
    </dataValidation>
    <dataValidation type="list" allowBlank="1" showInputMessage="1" showErrorMessage="1" sqref="B4" xr:uid="{00000000-0002-0000-0600-000001000000}">
      <formula1>"Total Sample, Other (Specify in Column C)"</formula1>
    </dataValidation>
  </dataValidations>
  <hyperlinks>
    <hyperlink ref="D1" location="'MAIN MENU'!A1" display="Main Menu" xr:uid="{00000000-0004-0000-0600-000000000000}"/>
    <hyperlink ref="E1" location="'MAIN MENU'!A1" display="Main Menu" xr:uid="{00000000-0004-0000-0600-000001000000}"/>
  </hyperlinks>
  <pageMargins left="0.75" right="0.75" top="1" bottom="1" header="0.5" footer="0.5"/>
  <pageSetup scale="91" fitToHeight="2"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O137"/>
  <sheetViews>
    <sheetView workbookViewId="0">
      <selection activeCell="B19" sqref="B19"/>
    </sheetView>
  </sheetViews>
  <sheetFormatPr defaultColWidth="9.1796875" defaultRowHeight="14.5" x14ac:dyDescent="0.35"/>
  <cols>
    <col min="1" max="1" width="42.81640625" style="114" customWidth="1"/>
    <col min="2" max="2" width="255.7265625" style="113" bestFit="1" customWidth="1"/>
    <col min="3" max="3" width="9.1796875" style="114" customWidth="1"/>
    <col min="4" max="16384" width="9.1796875" style="114"/>
  </cols>
  <sheetData>
    <row r="1" spans="1:2" ht="23.25" customHeight="1" x14ac:dyDescent="0.55000000000000004">
      <c r="A1" s="112" t="s">
        <v>1115</v>
      </c>
    </row>
    <row r="3" spans="1:2" s="116" customFormat="1" x14ac:dyDescent="0.35">
      <c r="A3" s="130" t="s">
        <v>1116</v>
      </c>
      <c r="B3" s="113" t="s">
        <v>1117</v>
      </c>
    </row>
    <row r="4" spans="1:2" s="116" customFormat="1" x14ac:dyDescent="0.35">
      <c r="A4" s="130" t="s">
        <v>100</v>
      </c>
      <c r="B4" s="113" t="s">
        <v>1118</v>
      </c>
    </row>
    <row r="5" spans="1:2" s="116" customFormat="1" x14ac:dyDescent="0.35">
      <c r="A5" s="130" t="s">
        <v>1119</v>
      </c>
      <c r="B5" s="113" t="s">
        <v>1120</v>
      </c>
    </row>
    <row r="6" spans="1:2" x14ac:dyDescent="0.35">
      <c r="A6" s="131" t="s">
        <v>1121</v>
      </c>
      <c r="B6" s="113" t="s">
        <v>1122</v>
      </c>
    </row>
    <row r="7" spans="1:2" s="116" customFormat="1" x14ac:dyDescent="0.35">
      <c r="A7" s="131" t="s">
        <v>1123</v>
      </c>
      <c r="B7" s="113" t="s">
        <v>1124</v>
      </c>
    </row>
    <row r="8" spans="1:2" x14ac:dyDescent="0.35">
      <c r="A8" s="131" t="s">
        <v>1125</v>
      </c>
      <c r="B8" s="113" t="s">
        <v>1126</v>
      </c>
    </row>
    <row r="9" spans="1:2" x14ac:dyDescent="0.35">
      <c r="A9" s="131" t="s">
        <v>1127</v>
      </c>
      <c r="B9" s="113" t="s">
        <v>1128</v>
      </c>
    </row>
    <row r="10" spans="1:2" x14ac:dyDescent="0.35">
      <c r="A10" s="131" t="s">
        <v>1129</v>
      </c>
      <c r="B10" s="113" t="s">
        <v>1130</v>
      </c>
    </row>
    <row r="11" spans="1:2" x14ac:dyDescent="0.35">
      <c r="A11" s="131" t="s">
        <v>1131</v>
      </c>
      <c r="B11" s="113" t="s">
        <v>1132</v>
      </c>
    </row>
    <row r="12" spans="1:2" s="116" customFormat="1" ht="30" customHeight="1" x14ac:dyDescent="0.35">
      <c r="A12" s="131" t="s">
        <v>1133</v>
      </c>
      <c r="B12" s="113" t="s">
        <v>1134</v>
      </c>
    </row>
    <row r="13" spans="1:2" x14ac:dyDescent="0.35">
      <c r="A13" s="131" t="s">
        <v>1135</v>
      </c>
      <c r="B13" s="113" t="s">
        <v>1136</v>
      </c>
    </row>
    <row r="14" spans="1:2" x14ac:dyDescent="0.35">
      <c r="A14" s="131" t="s">
        <v>1137</v>
      </c>
      <c r="B14" s="113" t="s">
        <v>1138</v>
      </c>
    </row>
    <row r="15" spans="1:2" x14ac:dyDescent="0.35">
      <c r="A15" s="131" t="s">
        <v>1139</v>
      </c>
      <c r="B15" s="113" t="s">
        <v>1140</v>
      </c>
    </row>
    <row r="16" spans="1:2" s="116" customFormat="1" x14ac:dyDescent="0.35">
      <c r="A16" s="131" t="s">
        <v>114</v>
      </c>
      <c r="B16" s="113" t="s">
        <v>1141</v>
      </c>
    </row>
    <row r="17" spans="1:2" x14ac:dyDescent="0.35">
      <c r="A17" s="131" t="s">
        <v>1142</v>
      </c>
      <c r="B17" s="113" t="s">
        <v>1143</v>
      </c>
    </row>
    <row r="18" spans="1:2" x14ac:dyDescent="0.35">
      <c r="A18" s="131" t="s">
        <v>1144</v>
      </c>
      <c r="B18" s="113" t="s">
        <v>1145</v>
      </c>
    </row>
    <row r="19" spans="1:2" ht="14.25" customHeight="1" x14ac:dyDescent="0.35">
      <c r="A19" s="131" t="s">
        <v>1146</v>
      </c>
      <c r="B19" s="113" t="s">
        <v>1147</v>
      </c>
    </row>
    <row r="20" spans="1:2" ht="14.25" customHeight="1" x14ac:dyDescent="0.35">
      <c r="A20" s="131" t="s">
        <v>1148</v>
      </c>
      <c r="B20" s="113" t="s">
        <v>1149</v>
      </c>
    </row>
    <row r="21" spans="1:2" s="116" customFormat="1" ht="14.25" customHeight="1" x14ac:dyDescent="0.35">
      <c r="A21" s="131" t="s">
        <v>109</v>
      </c>
      <c r="B21" s="113" t="s">
        <v>1150</v>
      </c>
    </row>
    <row r="22" spans="1:2" s="116" customFormat="1" ht="14.25" customHeight="1" x14ac:dyDescent="0.35">
      <c r="A22" s="131" t="s">
        <v>1151</v>
      </c>
      <c r="B22" s="113" t="s">
        <v>1152</v>
      </c>
    </row>
    <row r="23" spans="1:2" x14ac:dyDescent="0.35">
      <c r="A23" s="131" t="s">
        <v>1153</v>
      </c>
      <c r="B23" s="113" t="s">
        <v>1154</v>
      </c>
    </row>
    <row r="24" spans="1:2" x14ac:dyDescent="0.35">
      <c r="A24" s="132" t="s">
        <v>35</v>
      </c>
      <c r="B24" s="113" t="s">
        <v>1155</v>
      </c>
    </row>
    <row r="25" spans="1:2" s="116" customFormat="1" x14ac:dyDescent="0.35">
      <c r="A25" s="132" t="s">
        <v>48</v>
      </c>
      <c r="B25" s="113" t="s">
        <v>1156</v>
      </c>
    </row>
    <row r="26" spans="1:2" x14ac:dyDescent="0.35">
      <c r="A26" s="132" t="s">
        <v>38</v>
      </c>
      <c r="B26" s="113" t="s">
        <v>1157</v>
      </c>
    </row>
    <row r="27" spans="1:2" ht="30" customHeight="1" x14ac:dyDescent="0.35">
      <c r="A27" s="132" t="s">
        <v>1158</v>
      </c>
      <c r="B27" s="113" t="s">
        <v>1159</v>
      </c>
    </row>
    <row r="28" spans="1:2" x14ac:dyDescent="0.35">
      <c r="A28" s="132" t="s">
        <v>1160</v>
      </c>
      <c r="B28" s="113" t="s">
        <v>1161</v>
      </c>
    </row>
    <row r="29" spans="1:2" x14ac:dyDescent="0.35">
      <c r="A29" s="132" t="s">
        <v>1162</v>
      </c>
      <c r="B29" s="113" t="s">
        <v>1163</v>
      </c>
    </row>
    <row r="30" spans="1:2" ht="90" customHeight="1" x14ac:dyDescent="0.35">
      <c r="A30" s="132" t="s">
        <v>1164</v>
      </c>
      <c r="B30" s="113" t="s">
        <v>1165</v>
      </c>
    </row>
    <row r="31" spans="1:2" s="116" customFormat="1" ht="30" customHeight="1" x14ac:dyDescent="0.35">
      <c r="A31" s="132" t="s">
        <v>1166</v>
      </c>
      <c r="B31" s="113" t="s">
        <v>1167</v>
      </c>
    </row>
    <row r="32" spans="1:2" s="116" customFormat="1" x14ac:dyDescent="0.35">
      <c r="A32" s="132" t="s">
        <v>1168</v>
      </c>
      <c r="B32" s="113" t="s">
        <v>1169</v>
      </c>
    </row>
    <row r="33" spans="1:15" s="115" customFormat="1" x14ac:dyDescent="0.35">
      <c r="A33" s="132" t="s">
        <v>1170</v>
      </c>
      <c r="B33" s="113" t="s">
        <v>1171</v>
      </c>
    </row>
    <row r="34" spans="1:15" s="116" customFormat="1" x14ac:dyDescent="0.35">
      <c r="A34" s="132" t="s">
        <v>1172</v>
      </c>
      <c r="B34" s="113" t="s">
        <v>1173</v>
      </c>
    </row>
    <row r="35" spans="1:15" s="116" customFormat="1" x14ac:dyDescent="0.35">
      <c r="A35" s="132" t="s">
        <v>1174</v>
      </c>
      <c r="B35" s="113" t="s">
        <v>1175</v>
      </c>
    </row>
    <row r="36" spans="1:15" s="116" customFormat="1" x14ac:dyDescent="0.35">
      <c r="A36" s="132" t="s">
        <v>1176</v>
      </c>
      <c r="B36" s="113" t="s">
        <v>1177</v>
      </c>
    </row>
    <row r="37" spans="1:15" s="116" customFormat="1" x14ac:dyDescent="0.35">
      <c r="A37" s="132" t="s">
        <v>1178</v>
      </c>
      <c r="B37" s="113" t="s">
        <v>1179</v>
      </c>
    </row>
    <row r="41" spans="1:15" ht="23.25" customHeight="1" x14ac:dyDescent="0.55000000000000004">
      <c r="A41" s="112" t="s">
        <v>1180</v>
      </c>
    </row>
    <row r="43" spans="1:15" x14ac:dyDescent="0.35">
      <c r="A43" s="117" t="s">
        <v>1181</v>
      </c>
      <c r="B43" s="118"/>
      <c r="C43" s="117"/>
      <c r="D43" s="117"/>
      <c r="E43" s="117"/>
      <c r="F43" s="117"/>
      <c r="G43" s="117"/>
      <c r="H43" s="117"/>
      <c r="I43" s="117"/>
      <c r="J43" s="117"/>
      <c r="K43" s="117"/>
      <c r="L43" s="117"/>
      <c r="M43" s="117"/>
      <c r="N43" s="117"/>
      <c r="O43" s="117"/>
    </row>
    <row r="44" spans="1:15" x14ac:dyDescent="0.35">
      <c r="A44" s="117" t="s">
        <v>1182</v>
      </c>
      <c r="B44" s="118"/>
      <c r="C44" s="117"/>
      <c r="D44" s="117"/>
      <c r="E44" s="117"/>
      <c r="F44" s="117"/>
      <c r="G44" s="117"/>
      <c r="H44" s="117"/>
      <c r="I44" s="117"/>
      <c r="J44" s="117"/>
      <c r="K44" s="117"/>
      <c r="L44" s="117"/>
      <c r="M44" s="117"/>
      <c r="N44" s="117"/>
      <c r="O44" s="117"/>
    </row>
    <row r="45" spans="1:15" x14ac:dyDescent="0.35">
      <c r="A45" s="117" t="s">
        <v>1183</v>
      </c>
      <c r="B45" s="118"/>
      <c r="C45" s="117"/>
      <c r="D45" s="117"/>
      <c r="E45" s="117"/>
      <c r="F45" s="117"/>
      <c r="G45" s="117"/>
      <c r="H45" s="117"/>
      <c r="I45" s="117"/>
      <c r="J45" s="117"/>
      <c r="K45" s="117"/>
      <c r="L45" s="117"/>
      <c r="M45" s="117"/>
      <c r="N45" s="117"/>
      <c r="O45" s="117"/>
    </row>
    <row r="46" spans="1:15" x14ac:dyDescent="0.35">
      <c r="A46" s="119" t="s">
        <v>1184</v>
      </c>
      <c r="B46" s="120"/>
      <c r="C46" s="119"/>
      <c r="D46" s="119"/>
      <c r="E46" s="119"/>
      <c r="F46" s="117"/>
      <c r="G46" s="117"/>
      <c r="H46" s="117"/>
      <c r="I46" s="117"/>
      <c r="J46" s="117"/>
      <c r="K46" s="117"/>
      <c r="L46" s="117"/>
      <c r="M46" s="117"/>
      <c r="N46" s="117"/>
      <c r="O46" s="117"/>
    </row>
    <row r="47" spans="1:15" x14ac:dyDescent="0.35">
      <c r="A47" s="117"/>
      <c r="B47" s="118"/>
      <c r="C47" s="117"/>
      <c r="D47" s="117"/>
      <c r="E47" s="117"/>
      <c r="F47" s="117"/>
      <c r="G47" s="117"/>
      <c r="H47" s="117"/>
      <c r="I47" s="117"/>
      <c r="J47" s="117"/>
      <c r="K47" s="117"/>
      <c r="L47" s="117"/>
      <c r="M47" s="117"/>
      <c r="N47" s="117"/>
      <c r="O47" s="117"/>
    </row>
    <row r="48" spans="1:15" ht="14.25" customHeight="1" x14ac:dyDescent="0.35">
      <c r="A48" s="117" t="s">
        <v>1185</v>
      </c>
      <c r="B48" s="118"/>
      <c r="C48" s="121" t="s">
        <v>1186</v>
      </c>
      <c r="D48" s="117"/>
      <c r="E48" s="117"/>
      <c r="F48" s="117"/>
      <c r="G48" s="117"/>
      <c r="H48" s="117"/>
      <c r="I48" s="122"/>
      <c r="J48" s="117"/>
      <c r="K48" s="117"/>
      <c r="L48" s="117"/>
      <c r="M48" s="117"/>
      <c r="N48" s="117"/>
      <c r="O48" s="117"/>
    </row>
    <row r="49" spans="1:15" x14ac:dyDescent="0.35">
      <c r="A49" s="117" t="s">
        <v>1187</v>
      </c>
      <c r="B49" s="118"/>
      <c r="C49" s="117"/>
      <c r="D49" s="117"/>
      <c r="E49" s="117"/>
      <c r="F49" s="117"/>
      <c r="G49" s="117"/>
      <c r="H49" s="117"/>
      <c r="I49" s="122"/>
      <c r="J49" s="117"/>
      <c r="K49" s="117"/>
      <c r="L49" s="117"/>
      <c r="M49" s="117"/>
      <c r="N49" s="117"/>
      <c r="O49" s="117"/>
    </row>
    <row r="50" spans="1:15" x14ac:dyDescent="0.35">
      <c r="A50" s="117" t="s">
        <v>1188</v>
      </c>
      <c r="B50" s="118"/>
      <c r="C50" s="117"/>
      <c r="D50" s="117"/>
      <c r="E50" s="117"/>
      <c r="F50" s="117"/>
      <c r="G50" s="117"/>
      <c r="H50" s="117"/>
      <c r="I50" s="122"/>
      <c r="J50" s="117"/>
      <c r="K50" s="117"/>
      <c r="L50" s="117"/>
      <c r="M50" s="117"/>
      <c r="N50" s="117"/>
      <c r="O50" s="117"/>
    </row>
    <row r="51" spans="1:15" x14ac:dyDescent="0.35">
      <c r="A51" s="117" t="s">
        <v>1189</v>
      </c>
      <c r="B51" s="118"/>
      <c r="C51" s="117"/>
      <c r="D51" s="117"/>
      <c r="E51" s="117"/>
      <c r="F51" s="117"/>
      <c r="G51" s="117"/>
      <c r="H51" s="117"/>
      <c r="I51" s="122"/>
      <c r="J51" s="117"/>
      <c r="K51" s="117"/>
      <c r="L51" s="117"/>
      <c r="M51" s="117"/>
      <c r="N51" s="117"/>
      <c r="O51" s="117"/>
    </row>
    <row r="52" spans="1:15" x14ac:dyDescent="0.35">
      <c r="A52" s="117" t="s">
        <v>1181</v>
      </c>
      <c r="B52" s="118"/>
      <c r="C52" s="117"/>
      <c r="D52" s="117"/>
      <c r="E52" s="117"/>
      <c r="F52" s="117"/>
      <c r="G52" s="117"/>
      <c r="H52" s="117"/>
      <c r="I52" s="122"/>
      <c r="J52" s="117"/>
      <c r="K52" s="117"/>
      <c r="L52" s="117"/>
      <c r="M52" s="117"/>
      <c r="N52" s="117"/>
      <c r="O52" s="117"/>
    </row>
    <row r="53" spans="1:15" x14ac:dyDescent="0.35">
      <c r="A53" s="117" t="s">
        <v>1182</v>
      </c>
      <c r="B53" s="118"/>
      <c r="C53" s="117"/>
      <c r="D53" s="117"/>
      <c r="E53" s="117"/>
      <c r="F53" s="117"/>
      <c r="G53" s="117"/>
      <c r="H53" s="117"/>
      <c r="I53" s="122"/>
      <c r="J53" s="117"/>
      <c r="K53" s="117"/>
      <c r="L53" s="117"/>
      <c r="M53" s="117"/>
      <c r="N53" s="117"/>
      <c r="O53" s="117"/>
    </row>
    <row r="54" spans="1:15" x14ac:dyDescent="0.35">
      <c r="A54" s="117" t="s">
        <v>1190</v>
      </c>
      <c r="B54" s="118"/>
      <c r="C54" s="117"/>
      <c r="D54" s="117"/>
      <c r="E54" s="117"/>
      <c r="F54" s="117"/>
      <c r="G54" s="117"/>
      <c r="H54" s="117"/>
      <c r="I54" s="122"/>
      <c r="J54" s="117"/>
      <c r="K54" s="117"/>
      <c r="L54" s="117"/>
      <c r="M54" s="117"/>
      <c r="N54" s="117"/>
      <c r="O54" s="117"/>
    </row>
    <row r="55" spans="1:15" x14ac:dyDescent="0.35">
      <c r="A55" s="119" t="s">
        <v>1184</v>
      </c>
      <c r="B55" s="120"/>
      <c r="C55" s="119"/>
      <c r="D55" s="119"/>
      <c r="E55" s="119"/>
      <c r="F55" s="117"/>
      <c r="G55" s="117"/>
      <c r="H55" s="117"/>
      <c r="I55" s="122"/>
      <c r="J55" s="117"/>
      <c r="K55" s="117"/>
      <c r="L55" s="117"/>
      <c r="M55" s="117"/>
      <c r="N55" s="117"/>
      <c r="O55" s="117"/>
    </row>
    <row r="56" spans="1:15" x14ac:dyDescent="0.35">
      <c r="A56" s="117"/>
      <c r="B56" s="118"/>
      <c r="C56" s="117"/>
      <c r="D56" s="117"/>
      <c r="E56" s="117"/>
      <c r="F56" s="117"/>
      <c r="G56" s="117"/>
      <c r="H56" s="117"/>
      <c r="I56" s="122"/>
      <c r="J56" s="117"/>
      <c r="K56" s="117"/>
      <c r="L56" s="117"/>
      <c r="M56" s="117"/>
      <c r="N56" s="117"/>
      <c r="O56" s="117"/>
    </row>
    <row r="57" spans="1:15" x14ac:dyDescent="0.35">
      <c r="A57" s="117" t="s">
        <v>1191</v>
      </c>
      <c r="B57" s="118"/>
      <c r="C57" s="121" t="s">
        <v>1192</v>
      </c>
      <c r="D57" s="117"/>
      <c r="E57" s="117"/>
      <c r="F57" s="117"/>
      <c r="G57" s="117"/>
      <c r="H57" s="117"/>
      <c r="I57" s="122"/>
      <c r="J57" s="117"/>
      <c r="K57" s="117"/>
      <c r="L57" s="117"/>
      <c r="M57" s="117"/>
      <c r="N57" s="117"/>
      <c r="O57" s="117"/>
    </row>
    <row r="58" spans="1:15" x14ac:dyDescent="0.35">
      <c r="A58" s="117" t="s">
        <v>1193</v>
      </c>
      <c r="B58" s="118"/>
      <c r="C58" s="117"/>
      <c r="D58" s="117"/>
      <c r="E58" s="117"/>
      <c r="F58" s="117"/>
      <c r="G58" s="117"/>
      <c r="H58" s="117"/>
      <c r="I58" s="122"/>
      <c r="J58" s="117"/>
      <c r="K58" s="117"/>
      <c r="L58" s="117"/>
      <c r="M58" s="117"/>
      <c r="N58" s="117"/>
      <c r="O58" s="117"/>
    </row>
    <row r="59" spans="1:15" x14ac:dyDescent="0.35">
      <c r="A59" s="117" t="s">
        <v>1194</v>
      </c>
      <c r="B59" s="118"/>
      <c r="C59" s="117"/>
      <c r="D59" s="117"/>
      <c r="E59" s="117"/>
      <c r="F59" s="117"/>
      <c r="G59" s="117"/>
      <c r="H59" s="117"/>
      <c r="I59" s="122"/>
      <c r="J59" s="117"/>
      <c r="K59" s="117"/>
      <c r="L59" s="117"/>
      <c r="M59" s="117"/>
      <c r="N59" s="117"/>
      <c r="O59" s="117"/>
    </row>
    <row r="60" spans="1:15" x14ac:dyDescent="0.35">
      <c r="A60" s="117" t="s">
        <v>1195</v>
      </c>
      <c r="B60" s="118"/>
      <c r="C60" s="117"/>
      <c r="D60" s="117"/>
      <c r="E60" s="117"/>
      <c r="F60" s="117"/>
      <c r="G60" s="117"/>
      <c r="H60" s="117"/>
      <c r="I60" s="122"/>
      <c r="J60" s="117"/>
      <c r="K60" s="117"/>
      <c r="L60" s="117"/>
      <c r="M60" s="117"/>
      <c r="N60" s="117"/>
      <c r="O60" s="117"/>
    </row>
    <row r="61" spans="1:15" x14ac:dyDescent="0.35">
      <c r="A61" s="117" t="s">
        <v>1196</v>
      </c>
      <c r="B61" s="118"/>
      <c r="C61" s="117"/>
      <c r="D61" s="117"/>
      <c r="E61" s="117"/>
      <c r="F61" s="117"/>
      <c r="G61" s="117"/>
      <c r="H61" s="117"/>
      <c r="I61" s="122"/>
      <c r="J61" s="117"/>
      <c r="K61" s="117"/>
      <c r="L61" s="117"/>
      <c r="M61" s="117"/>
      <c r="N61" s="117"/>
      <c r="O61" s="117"/>
    </row>
    <row r="62" spans="1:15" x14ac:dyDescent="0.35">
      <c r="A62" s="117"/>
      <c r="B62" s="118"/>
      <c r="C62" s="117"/>
      <c r="D62" s="117"/>
      <c r="E62" s="117"/>
      <c r="F62" s="117"/>
      <c r="G62" s="117"/>
      <c r="H62" s="117"/>
      <c r="I62" s="117"/>
      <c r="J62" s="117"/>
      <c r="K62" s="117"/>
      <c r="L62" s="117"/>
      <c r="M62" s="117"/>
      <c r="N62" s="117"/>
      <c r="O62" s="117"/>
    </row>
    <row r="63" spans="1:15" x14ac:dyDescent="0.35">
      <c r="A63" s="122" t="s">
        <v>1197</v>
      </c>
      <c r="B63" s="118"/>
      <c r="C63" s="117"/>
      <c r="D63" s="117"/>
      <c r="E63" s="117"/>
      <c r="F63" s="117"/>
      <c r="G63" s="117"/>
      <c r="H63" s="117"/>
      <c r="I63" s="117"/>
      <c r="J63" s="117"/>
      <c r="K63" s="117"/>
      <c r="L63" s="117"/>
      <c r="M63" s="117"/>
      <c r="N63" s="117"/>
      <c r="O63" s="117"/>
    </row>
    <row r="64" spans="1:15" x14ac:dyDescent="0.35">
      <c r="A64" s="117" t="s">
        <v>1198</v>
      </c>
      <c r="B64" s="118"/>
      <c r="C64" s="121" t="s">
        <v>1199</v>
      </c>
      <c r="D64" s="117"/>
      <c r="E64" s="117"/>
      <c r="F64" s="117"/>
      <c r="G64" s="117"/>
      <c r="H64" s="117"/>
      <c r="I64" s="117"/>
      <c r="J64" s="117"/>
      <c r="K64" s="117"/>
      <c r="L64" s="117"/>
      <c r="M64" s="117"/>
      <c r="N64" s="117"/>
      <c r="O64" s="117"/>
    </row>
    <row r="65" spans="1:15" x14ac:dyDescent="0.35">
      <c r="A65" s="117" t="s">
        <v>1200</v>
      </c>
      <c r="B65" s="118"/>
      <c r="C65" s="117"/>
      <c r="D65" s="117"/>
      <c r="E65" s="117"/>
      <c r="F65" s="117"/>
      <c r="G65" s="117"/>
      <c r="H65" s="117"/>
      <c r="I65" s="117"/>
      <c r="J65" s="117"/>
      <c r="K65" s="117"/>
      <c r="L65" s="117"/>
      <c r="M65" s="117"/>
      <c r="N65" s="117"/>
      <c r="O65" s="117"/>
    </row>
    <row r="66" spans="1:15" x14ac:dyDescent="0.35">
      <c r="A66" s="117" t="s">
        <v>1201</v>
      </c>
      <c r="B66" s="118"/>
      <c r="C66" s="117"/>
      <c r="D66" s="117"/>
      <c r="E66" s="117"/>
      <c r="F66" s="117"/>
      <c r="G66" s="117"/>
      <c r="H66" s="117"/>
      <c r="I66" s="117"/>
      <c r="J66" s="117"/>
      <c r="K66" s="117"/>
      <c r="L66" s="117"/>
      <c r="M66" s="117"/>
      <c r="N66" s="117"/>
      <c r="O66" s="117"/>
    </row>
    <row r="67" spans="1:15" x14ac:dyDescent="0.35">
      <c r="A67" s="117" t="s">
        <v>1202</v>
      </c>
      <c r="B67" s="118"/>
      <c r="C67" s="117"/>
      <c r="D67" s="117"/>
      <c r="E67" s="117"/>
      <c r="F67" s="117"/>
      <c r="G67" s="117"/>
      <c r="H67" s="117"/>
      <c r="I67" s="117"/>
      <c r="J67" s="117"/>
      <c r="K67" s="117"/>
      <c r="L67" s="117"/>
      <c r="M67" s="117"/>
      <c r="N67" s="117"/>
      <c r="O67" s="117"/>
    </row>
    <row r="68" spans="1:15" x14ac:dyDescent="0.35">
      <c r="A68" s="117" t="s">
        <v>1203</v>
      </c>
      <c r="B68" s="118"/>
      <c r="C68" s="117"/>
      <c r="D68" s="117"/>
      <c r="E68" s="117"/>
      <c r="F68" s="117"/>
      <c r="G68" s="117"/>
      <c r="H68" s="117"/>
      <c r="I68" s="117"/>
      <c r="J68" s="117"/>
      <c r="K68" s="117"/>
      <c r="L68" s="117"/>
      <c r="M68" s="117"/>
      <c r="N68" s="117"/>
      <c r="O68" s="117"/>
    </row>
    <row r="69" spans="1:15" x14ac:dyDescent="0.35">
      <c r="A69" s="117" t="s">
        <v>1204</v>
      </c>
      <c r="B69" s="118"/>
      <c r="C69" s="117"/>
      <c r="D69" s="117"/>
      <c r="E69" s="117"/>
      <c r="F69" s="117"/>
      <c r="G69" s="117"/>
      <c r="H69" s="117"/>
      <c r="I69" s="117"/>
      <c r="J69" s="117"/>
      <c r="K69" s="117"/>
      <c r="L69" s="117"/>
      <c r="M69" s="117"/>
      <c r="N69" s="117"/>
      <c r="O69" s="117"/>
    </row>
    <row r="70" spans="1:15" x14ac:dyDescent="0.35">
      <c r="A70" s="117" t="s">
        <v>1205</v>
      </c>
      <c r="B70" s="118"/>
      <c r="C70" s="117"/>
      <c r="D70" s="117"/>
      <c r="E70" s="117"/>
      <c r="F70" s="117"/>
      <c r="G70" s="117"/>
      <c r="H70" s="117"/>
      <c r="I70" s="117"/>
      <c r="J70" s="117"/>
      <c r="K70" s="117"/>
      <c r="L70" s="117"/>
      <c r="M70" s="117"/>
      <c r="N70" s="117"/>
      <c r="O70" s="117"/>
    </row>
    <row r="71" spans="1:15" x14ac:dyDescent="0.35">
      <c r="A71" s="117" t="s">
        <v>1206</v>
      </c>
      <c r="B71" s="118"/>
      <c r="C71" s="117"/>
      <c r="D71" s="117"/>
      <c r="E71" s="117"/>
      <c r="F71" s="117"/>
      <c r="G71" s="117"/>
      <c r="H71" s="117"/>
      <c r="I71" s="117"/>
      <c r="J71" s="117"/>
      <c r="K71" s="117"/>
      <c r="L71" s="117"/>
      <c r="M71" s="117"/>
      <c r="N71" s="117"/>
      <c r="O71" s="117"/>
    </row>
    <row r="72" spans="1:15" x14ac:dyDescent="0.35">
      <c r="A72" s="117" t="s">
        <v>1207</v>
      </c>
      <c r="B72" s="118"/>
      <c r="C72" s="117"/>
      <c r="D72" s="117"/>
      <c r="E72" s="117"/>
      <c r="F72" s="117"/>
      <c r="G72" s="117"/>
      <c r="H72" s="117"/>
      <c r="I72" s="117"/>
      <c r="J72" s="117"/>
      <c r="K72" s="117"/>
      <c r="L72" s="117"/>
      <c r="M72" s="117"/>
      <c r="N72" s="117"/>
      <c r="O72" s="117"/>
    </row>
    <row r="73" spans="1:15" x14ac:dyDescent="0.35">
      <c r="A73" s="117" t="s">
        <v>1208</v>
      </c>
      <c r="B73" s="118"/>
      <c r="C73" s="117"/>
      <c r="D73" s="117"/>
      <c r="E73" s="117"/>
      <c r="F73" s="117"/>
      <c r="G73" s="117"/>
      <c r="H73" s="117"/>
      <c r="I73" s="117"/>
      <c r="J73" s="117"/>
      <c r="K73" s="117"/>
      <c r="L73" s="117"/>
      <c r="M73" s="117"/>
      <c r="N73" s="117"/>
      <c r="O73" s="117"/>
    </row>
    <row r="74" spans="1:15" x14ac:dyDescent="0.35">
      <c r="A74" s="117" t="s">
        <v>1209</v>
      </c>
      <c r="B74" s="118"/>
      <c r="C74" s="117"/>
      <c r="D74" s="117"/>
      <c r="E74" s="117"/>
      <c r="F74" s="117"/>
      <c r="G74" s="117"/>
      <c r="H74" s="117"/>
      <c r="I74" s="117"/>
      <c r="J74" s="117"/>
      <c r="K74" s="117"/>
      <c r="L74" s="117"/>
      <c r="M74" s="117"/>
      <c r="N74" s="117"/>
      <c r="O74" s="117"/>
    </row>
    <row r="75" spans="1:15" x14ac:dyDescent="0.35">
      <c r="A75" s="117" t="s">
        <v>1210</v>
      </c>
      <c r="B75" s="118"/>
      <c r="C75" s="117"/>
      <c r="D75" s="117"/>
      <c r="E75" s="117"/>
      <c r="F75" s="117"/>
      <c r="G75" s="117"/>
      <c r="H75" s="117"/>
      <c r="I75" s="117"/>
      <c r="J75" s="117"/>
      <c r="K75" s="117"/>
      <c r="L75" s="117"/>
      <c r="M75" s="117"/>
      <c r="N75" s="117"/>
      <c r="O75" s="117"/>
    </row>
    <row r="76" spans="1:15" x14ac:dyDescent="0.35">
      <c r="A76" s="117" t="s">
        <v>1211</v>
      </c>
      <c r="B76" s="118"/>
      <c r="C76" s="117"/>
      <c r="D76" s="117"/>
      <c r="E76" s="117"/>
      <c r="F76" s="117"/>
      <c r="G76" s="117"/>
      <c r="H76" s="117"/>
      <c r="I76" s="117"/>
      <c r="J76" s="117"/>
      <c r="K76" s="117"/>
      <c r="L76" s="117"/>
      <c r="M76" s="117"/>
      <c r="N76" s="117"/>
      <c r="O76" s="117"/>
    </row>
    <row r="77" spans="1:15" x14ac:dyDescent="0.35">
      <c r="A77" s="117" t="s">
        <v>1212</v>
      </c>
      <c r="B77" s="118"/>
      <c r="C77" s="117"/>
      <c r="D77" s="117"/>
      <c r="E77" s="117"/>
      <c r="F77" s="117"/>
      <c r="G77" s="117"/>
      <c r="H77" s="117"/>
      <c r="I77" s="117"/>
      <c r="J77" s="117"/>
      <c r="K77" s="117"/>
      <c r="L77" s="117"/>
      <c r="M77" s="117"/>
      <c r="N77" s="117"/>
      <c r="O77" s="117"/>
    </row>
    <row r="78" spans="1:15" x14ac:dyDescent="0.35">
      <c r="A78" s="117" t="s">
        <v>1213</v>
      </c>
      <c r="B78" s="118"/>
      <c r="C78" s="117"/>
      <c r="D78" s="117"/>
      <c r="E78" s="117"/>
      <c r="F78" s="117"/>
      <c r="G78" s="117"/>
      <c r="H78" s="117"/>
      <c r="I78" s="117"/>
      <c r="J78" s="117"/>
      <c r="K78" s="117"/>
      <c r="L78" s="117"/>
      <c r="M78" s="117"/>
      <c r="N78" s="117"/>
      <c r="O78" s="117"/>
    </row>
    <row r="79" spans="1:15" x14ac:dyDescent="0.35">
      <c r="A79" s="117" t="s">
        <v>1214</v>
      </c>
      <c r="B79" s="118"/>
      <c r="C79" s="117"/>
      <c r="D79" s="117"/>
      <c r="E79" s="117"/>
      <c r="F79" s="117"/>
      <c r="G79" s="117"/>
      <c r="H79" s="117"/>
      <c r="I79" s="117"/>
      <c r="J79" s="117"/>
      <c r="K79" s="117"/>
      <c r="L79" s="117"/>
      <c r="M79" s="117"/>
      <c r="N79" s="117"/>
      <c r="O79" s="117"/>
    </row>
    <row r="80" spans="1:15" x14ac:dyDescent="0.35">
      <c r="A80" s="117" t="s">
        <v>1215</v>
      </c>
      <c r="B80" s="118"/>
      <c r="C80" s="117"/>
      <c r="D80" s="117"/>
      <c r="E80" s="117"/>
      <c r="F80" s="117"/>
      <c r="G80" s="117"/>
      <c r="H80" s="117"/>
      <c r="I80" s="117"/>
      <c r="J80" s="117"/>
      <c r="K80" s="117"/>
      <c r="L80" s="117"/>
      <c r="M80" s="117"/>
      <c r="N80" s="117"/>
      <c r="O80" s="117"/>
    </row>
    <row r="81" spans="1:15" x14ac:dyDescent="0.35">
      <c r="A81" s="117" t="s">
        <v>1216</v>
      </c>
      <c r="B81" s="118"/>
      <c r="C81" s="117"/>
      <c r="D81" s="117"/>
      <c r="E81" s="117"/>
      <c r="F81" s="117"/>
      <c r="G81" s="117"/>
      <c r="H81" s="117"/>
      <c r="I81" s="117"/>
      <c r="J81" s="117"/>
      <c r="K81" s="117"/>
      <c r="L81" s="117"/>
      <c r="M81" s="117"/>
      <c r="N81" s="117"/>
      <c r="O81" s="117"/>
    </row>
    <row r="82" spans="1:15" x14ac:dyDescent="0.35">
      <c r="A82" s="117" t="s">
        <v>1217</v>
      </c>
      <c r="B82" s="118"/>
      <c r="C82" s="117"/>
      <c r="D82" s="117"/>
      <c r="E82" s="117"/>
      <c r="F82" s="117"/>
      <c r="G82" s="117"/>
      <c r="H82" s="117"/>
      <c r="I82" s="117"/>
      <c r="J82" s="117"/>
      <c r="K82" s="117"/>
      <c r="L82" s="117"/>
      <c r="M82" s="117"/>
      <c r="N82" s="117"/>
      <c r="O82" s="117"/>
    </row>
    <row r="83" spans="1:15" x14ac:dyDescent="0.35">
      <c r="A83" s="117" t="s">
        <v>1218</v>
      </c>
      <c r="B83" s="118"/>
      <c r="C83" s="117"/>
      <c r="D83" s="117"/>
      <c r="E83" s="117"/>
      <c r="F83" s="117"/>
      <c r="G83" s="117"/>
      <c r="H83" s="117"/>
      <c r="I83" s="117"/>
      <c r="J83" s="117"/>
      <c r="K83" s="117"/>
      <c r="L83" s="117"/>
      <c r="M83" s="117"/>
      <c r="N83" s="117"/>
      <c r="O83" s="117"/>
    </row>
    <row r="84" spans="1:15" x14ac:dyDescent="0.35">
      <c r="A84" s="117" t="s">
        <v>1219</v>
      </c>
      <c r="B84" s="118"/>
      <c r="C84" s="117"/>
      <c r="D84" s="117"/>
      <c r="E84" s="117"/>
      <c r="F84" s="117"/>
      <c r="G84" s="117"/>
      <c r="H84" s="117"/>
      <c r="I84" s="117"/>
      <c r="J84" s="117"/>
      <c r="K84" s="117"/>
      <c r="L84" s="117"/>
      <c r="M84" s="117"/>
      <c r="N84" s="117"/>
      <c r="O84" s="117"/>
    </row>
    <row r="85" spans="1:15" x14ac:dyDescent="0.35">
      <c r="A85" s="117" t="s">
        <v>1220</v>
      </c>
      <c r="B85" s="118"/>
      <c r="C85" s="117"/>
      <c r="D85" s="117"/>
      <c r="E85" s="117"/>
      <c r="F85" s="117"/>
      <c r="G85" s="117"/>
      <c r="H85" s="117"/>
      <c r="I85" s="117"/>
      <c r="J85" s="117"/>
      <c r="K85" s="117"/>
      <c r="L85" s="117"/>
      <c r="M85" s="117"/>
      <c r="N85" s="117"/>
      <c r="O85" s="117"/>
    </row>
    <row r="86" spans="1:15" x14ac:dyDescent="0.35">
      <c r="A86" s="117" t="s">
        <v>1221</v>
      </c>
      <c r="B86" s="118"/>
      <c r="C86" s="117"/>
      <c r="D86" s="117"/>
      <c r="E86" s="117"/>
      <c r="F86" s="117"/>
      <c r="G86" s="117"/>
      <c r="H86" s="117"/>
      <c r="I86" s="117"/>
      <c r="J86" s="117"/>
      <c r="K86" s="117"/>
      <c r="L86" s="117"/>
      <c r="M86" s="117"/>
      <c r="N86" s="117"/>
      <c r="O86" s="117"/>
    </row>
    <row r="87" spans="1:15" x14ac:dyDescent="0.35">
      <c r="A87" s="117" t="s">
        <v>744</v>
      </c>
      <c r="B87" s="118"/>
      <c r="C87" s="117"/>
      <c r="D87" s="117"/>
      <c r="E87" s="117"/>
      <c r="F87" s="117"/>
      <c r="G87" s="117"/>
      <c r="H87" s="117"/>
      <c r="I87" s="117"/>
      <c r="J87" s="117"/>
      <c r="K87" s="117"/>
      <c r="L87" s="117"/>
      <c r="M87" s="117"/>
      <c r="N87" s="117"/>
      <c r="O87" s="117"/>
    </row>
    <row r="91" spans="1:15" ht="23.25" customHeight="1" x14ac:dyDescent="0.55000000000000004">
      <c r="A91" s="112" t="s">
        <v>1222</v>
      </c>
    </row>
    <row r="93" spans="1:15" x14ac:dyDescent="0.35">
      <c r="B93" s="123" t="s">
        <v>1223</v>
      </c>
    </row>
    <row r="94" spans="1:15" x14ac:dyDescent="0.35">
      <c r="B94" s="123"/>
    </row>
    <row r="95" spans="1:15" x14ac:dyDescent="0.35">
      <c r="B95" s="123" t="s">
        <v>1224</v>
      </c>
    </row>
    <row r="97" spans="1:2" x14ac:dyDescent="0.35">
      <c r="B97" s="124">
        <v>0</v>
      </c>
    </row>
    <row r="98" spans="1:2" x14ac:dyDescent="0.35">
      <c r="B98" s="125" t="s">
        <v>1225</v>
      </c>
    </row>
    <row r="99" spans="1:2" x14ac:dyDescent="0.35">
      <c r="B99" s="124">
        <v>1</v>
      </c>
    </row>
    <row r="100" spans="1:2" x14ac:dyDescent="0.35">
      <c r="B100" s="124">
        <v>2</v>
      </c>
    </row>
    <row r="101" spans="1:2" x14ac:dyDescent="0.35">
      <c r="B101" s="124">
        <v>3</v>
      </c>
    </row>
    <row r="102" spans="1:2" x14ac:dyDescent="0.35">
      <c r="B102" s="124">
        <v>4</v>
      </c>
    </row>
    <row r="103" spans="1:2" x14ac:dyDescent="0.35">
      <c r="B103" s="124">
        <v>5</v>
      </c>
    </row>
    <row r="104" spans="1:2" x14ac:dyDescent="0.35">
      <c r="B104" s="123" t="s">
        <v>1226</v>
      </c>
    </row>
    <row r="106" spans="1:2" x14ac:dyDescent="0.35">
      <c r="B106" s="126" t="s">
        <v>1227</v>
      </c>
    </row>
    <row r="107" spans="1:2" x14ac:dyDescent="0.35">
      <c r="B107" s="126" t="s">
        <v>1228</v>
      </c>
    </row>
    <row r="108" spans="1:2" x14ac:dyDescent="0.35">
      <c r="B108" s="127"/>
    </row>
    <row r="109" spans="1:2" x14ac:dyDescent="0.35">
      <c r="B109" s="127"/>
    </row>
    <row r="110" spans="1:2" x14ac:dyDescent="0.35">
      <c r="B110" s="128" t="s">
        <v>1229</v>
      </c>
    </row>
    <row r="111" spans="1:2" x14ac:dyDescent="0.35">
      <c r="A111" s="129" t="s">
        <v>1230</v>
      </c>
      <c r="B111" s="128" t="s">
        <v>1231</v>
      </c>
    </row>
    <row r="112" spans="1:2" x14ac:dyDescent="0.35">
      <c r="B112" s="128" t="s">
        <v>1232</v>
      </c>
    </row>
    <row r="113" spans="2:2" x14ac:dyDescent="0.35">
      <c r="B113" s="127"/>
    </row>
    <row r="114" spans="2:2" x14ac:dyDescent="0.35">
      <c r="B114" s="126" t="s">
        <v>1233</v>
      </c>
    </row>
    <row r="115" spans="2:2" x14ac:dyDescent="0.35">
      <c r="B115" s="126" t="s">
        <v>1234</v>
      </c>
    </row>
    <row r="116" spans="2:2" x14ac:dyDescent="0.35">
      <c r="B116" s="126" t="s">
        <v>1235</v>
      </c>
    </row>
    <row r="117" spans="2:2" x14ac:dyDescent="0.35">
      <c r="B117" s="126" t="s">
        <v>1236</v>
      </c>
    </row>
    <row r="118" spans="2:2" x14ac:dyDescent="0.35">
      <c r="B118" s="126" t="s">
        <v>1237</v>
      </c>
    </row>
    <row r="119" spans="2:2" x14ac:dyDescent="0.35">
      <c r="B119" s="126" t="s">
        <v>1238</v>
      </c>
    </row>
    <row r="120" spans="2:2" x14ac:dyDescent="0.35">
      <c r="B120" s="126" t="s">
        <v>1239</v>
      </c>
    </row>
    <row r="121" spans="2:2" x14ac:dyDescent="0.35">
      <c r="B121" s="126" t="s">
        <v>1240</v>
      </c>
    </row>
    <row r="122" spans="2:2" x14ac:dyDescent="0.35">
      <c r="B122" s="126" t="s">
        <v>1241</v>
      </c>
    </row>
    <row r="123" spans="2:2" x14ac:dyDescent="0.35">
      <c r="B123" s="126" t="s">
        <v>1242</v>
      </c>
    </row>
    <row r="124" spans="2:2" x14ac:dyDescent="0.35">
      <c r="B124" s="126" t="s">
        <v>1243</v>
      </c>
    </row>
    <row r="125" spans="2:2" x14ac:dyDescent="0.35">
      <c r="B125" s="126" t="s">
        <v>1244</v>
      </c>
    </row>
    <row r="126" spans="2:2" x14ac:dyDescent="0.35">
      <c r="B126" s="126" t="s">
        <v>1245</v>
      </c>
    </row>
    <row r="127" spans="2:2" x14ac:dyDescent="0.35">
      <c r="B127" s="126" t="s">
        <v>1246</v>
      </c>
    </row>
    <row r="128" spans="2:2" x14ac:dyDescent="0.35">
      <c r="B128" s="126" t="s">
        <v>1247</v>
      </c>
    </row>
    <row r="129" spans="2:2" x14ac:dyDescent="0.35">
      <c r="B129" s="126" t="s">
        <v>1248</v>
      </c>
    </row>
    <row r="130" spans="2:2" x14ac:dyDescent="0.35">
      <c r="B130" s="126" t="s">
        <v>1249</v>
      </c>
    </row>
    <row r="131" spans="2:2" x14ac:dyDescent="0.35">
      <c r="B131" s="126" t="s">
        <v>1250</v>
      </c>
    </row>
    <row r="132" spans="2:2" x14ac:dyDescent="0.35">
      <c r="B132" s="126" t="s">
        <v>1251</v>
      </c>
    </row>
    <row r="133" spans="2:2" x14ac:dyDescent="0.35">
      <c r="B133" s="126" t="s">
        <v>1252</v>
      </c>
    </row>
    <row r="134" spans="2:2" x14ac:dyDescent="0.35">
      <c r="B134" s="126" t="s">
        <v>1253</v>
      </c>
    </row>
    <row r="135" spans="2:2" x14ac:dyDescent="0.35">
      <c r="B135" s="126" t="s">
        <v>1254</v>
      </c>
    </row>
    <row r="136" spans="2:2" x14ac:dyDescent="0.35">
      <c r="B136" s="126" t="s">
        <v>1255</v>
      </c>
    </row>
    <row r="137" spans="2:2" x14ac:dyDescent="0.35">
      <c r="B137" s="126" t="s">
        <v>1256</v>
      </c>
    </row>
  </sheetData>
  <pageMargins left="0.7" right="0.7" top="0.75" bottom="0.75" header="0.3" footer="0.3"/>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34998626667073579"/>
  </sheetPr>
  <dimension ref="B2:D55"/>
  <sheetViews>
    <sheetView topLeftCell="A16" workbookViewId="0">
      <selection activeCell="D25" sqref="D25:D27"/>
    </sheetView>
  </sheetViews>
  <sheetFormatPr defaultColWidth="9.1796875" defaultRowHeight="14.5" x14ac:dyDescent="0.35"/>
  <cols>
    <col min="1" max="1" width="3.54296875" style="110" customWidth="1"/>
    <col min="2" max="2" width="41.1796875" style="110" customWidth="1"/>
    <col min="3" max="3" width="9.1796875" style="110" customWidth="1"/>
    <col min="4" max="16384" width="9.1796875" style="110"/>
  </cols>
  <sheetData>
    <row r="2" spans="2:4" x14ac:dyDescent="0.35">
      <c r="B2" s="109" t="s">
        <v>1257</v>
      </c>
    </row>
    <row r="4" spans="2:4" x14ac:dyDescent="0.35">
      <c r="B4" s="111" t="s">
        <v>12</v>
      </c>
    </row>
    <row r="5" spans="2:4" x14ac:dyDescent="0.35">
      <c r="B5" s="110" t="s">
        <v>1258</v>
      </c>
      <c r="D5" s="110" t="s">
        <v>1258</v>
      </c>
    </row>
    <row r="6" spans="2:4" x14ac:dyDescent="0.35">
      <c r="B6" s="110" t="s">
        <v>1259</v>
      </c>
      <c r="D6" s="110" t="s">
        <v>1259</v>
      </c>
    </row>
    <row r="7" spans="2:4" x14ac:dyDescent="0.35">
      <c r="B7" s="110" t="s">
        <v>1260</v>
      </c>
      <c r="D7" s="110" t="s">
        <v>1260</v>
      </c>
    </row>
    <row r="8" spans="2:4" x14ac:dyDescent="0.35">
      <c r="B8" s="110" t="s">
        <v>1261</v>
      </c>
      <c r="D8" s="110" t="s">
        <v>1261</v>
      </c>
    </row>
    <row r="9" spans="2:4" x14ac:dyDescent="0.35">
      <c r="B9" s="110" t="s">
        <v>1262</v>
      </c>
      <c r="D9" s="110" t="s">
        <v>1262</v>
      </c>
    </row>
    <row r="10" spans="2:4" x14ac:dyDescent="0.35">
      <c r="B10" s="110" t="s">
        <v>260</v>
      </c>
      <c r="D10" s="110" t="s">
        <v>260</v>
      </c>
    </row>
    <row r="12" spans="2:4" x14ac:dyDescent="0.35">
      <c r="B12" s="111" t="s">
        <v>1263</v>
      </c>
    </row>
    <row r="13" spans="2:4" x14ac:dyDescent="0.35">
      <c r="B13" s="110" t="s">
        <v>6</v>
      </c>
      <c r="D13" s="110" t="s">
        <v>6</v>
      </c>
    </row>
    <row r="14" spans="2:4" x14ac:dyDescent="0.35">
      <c r="B14" s="110" t="s">
        <v>49</v>
      </c>
      <c r="D14" s="110" t="s">
        <v>49</v>
      </c>
    </row>
    <row r="16" spans="2:4" x14ac:dyDescent="0.35">
      <c r="B16" s="111" t="s">
        <v>1264</v>
      </c>
    </row>
    <row r="17" spans="2:4" x14ac:dyDescent="0.35">
      <c r="B17" s="110" t="s">
        <v>1265</v>
      </c>
    </row>
    <row r="18" spans="2:4" x14ac:dyDescent="0.35">
      <c r="B18" s="110" t="s">
        <v>1266</v>
      </c>
    </row>
    <row r="19" spans="2:4" x14ac:dyDescent="0.35">
      <c r="B19" s="110" t="s">
        <v>1267</v>
      </c>
    </row>
    <row r="20" spans="2:4" x14ac:dyDescent="0.35">
      <c r="B20" s="110" t="s">
        <v>1268</v>
      </c>
    </row>
    <row r="21" spans="2:4" x14ac:dyDescent="0.35">
      <c r="B21" s="110" t="s">
        <v>1269</v>
      </c>
    </row>
    <row r="22" spans="2:4" x14ac:dyDescent="0.35">
      <c r="B22" s="110" t="s">
        <v>260</v>
      </c>
    </row>
    <row r="24" spans="2:4" x14ac:dyDescent="0.35">
      <c r="B24" s="111" t="s">
        <v>1270</v>
      </c>
    </row>
    <row r="25" spans="2:4" x14ac:dyDescent="0.35">
      <c r="B25" s="110" t="s">
        <v>36</v>
      </c>
      <c r="D25" s="110" t="s">
        <v>36</v>
      </c>
    </row>
    <row r="26" spans="2:4" x14ac:dyDescent="0.35">
      <c r="B26" s="110" t="s">
        <v>1271</v>
      </c>
      <c r="D26" s="110" t="s">
        <v>1271</v>
      </c>
    </row>
    <row r="27" spans="2:4" x14ac:dyDescent="0.35">
      <c r="B27" s="110" t="s">
        <v>1272</v>
      </c>
      <c r="D27" s="110" t="s">
        <v>1272</v>
      </c>
    </row>
    <row r="29" spans="2:4" x14ac:dyDescent="0.35">
      <c r="B29" s="111" t="s">
        <v>1273</v>
      </c>
    </row>
    <row r="30" spans="2:4" x14ac:dyDescent="0.35">
      <c r="B30" s="110" t="s">
        <v>39</v>
      </c>
      <c r="D30" s="110" t="s">
        <v>39</v>
      </c>
    </row>
    <row r="31" spans="2:4" x14ac:dyDescent="0.35">
      <c r="B31" s="110" t="s">
        <v>1274</v>
      </c>
      <c r="D31" s="110" t="s">
        <v>1274</v>
      </c>
    </row>
    <row r="32" spans="2:4" x14ac:dyDescent="0.35">
      <c r="B32" s="110" t="s">
        <v>1275</v>
      </c>
      <c r="D32" s="110" t="s">
        <v>1275</v>
      </c>
    </row>
    <row r="34" spans="2:4" x14ac:dyDescent="0.35">
      <c r="B34" s="111" t="s">
        <v>1276</v>
      </c>
    </row>
    <row r="35" spans="2:4" x14ac:dyDescent="0.35">
      <c r="B35" s="110" t="s">
        <v>1277</v>
      </c>
      <c r="D35" s="110" t="s">
        <v>1277</v>
      </c>
    </row>
    <row r="36" spans="2:4" x14ac:dyDescent="0.35">
      <c r="B36" s="110" t="s">
        <v>1278</v>
      </c>
      <c r="D36" s="110" t="s">
        <v>1278</v>
      </c>
    </row>
    <row r="37" spans="2:4" x14ac:dyDescent="0.35">
      <c r="B37" s="110" t="s">
        <v>1279</v>
      </c>
      <c r="D37" s="110" t="s">
        <v>1279</v>
      </c>
    </row>
    <row r="38" spans="2:4" x14ac:dyDescent="0.35">
      <c r="B38" s="110" t="s">
        <v>1280</v>
      </c>
      <c r="D38" s="110" t="s">
        <v>1280</v>
      </c>
    </row>
    <row r="39" spans="2:4" x14ac:dyDescent="0.35">
      <c r="B39" s="110" t="s">
        <v>1281</v>
      </c>
      <c r="D39" s="110" t="s">
        <v>1281</v>
      </c>
    </row>
    <row r="40" spans="2:4" x14ac:dyDescent="0.35">
      <c r="B40" s="110" t="s">
        <v>1282</v>
      </c>
      <c r="D40" s="110" t="s">
        <v>1282</v>
      </c>
    </row>
    <row r="41" spans="2:4" x14ac:dyDescent="0.35">
      <c r="B41" s="110" t="s">
        <v>1283</v>
      </c>
      <c r="D41" s="110" t="s">
        <v>1283</v>
      </c>
    </row>
    <row r="42" spans="2:4" x14ac:dyDescent="0.35">
      <c r="B42" s="110" t="s">
        <v>1284</v>
      </c>
      <c r="D42" s="110" t="s">
        <v>1284</v>
      </c>
    </row>
    <row r="43" spans="2:4" x14ac:dyDescent="0.35">
      <c r="B43" s="110" t="s">
        <v>1285</v>
      </c>
      <c r="D43" s="110" t="s">
        <v>1285</v>
      </c>
    </row>
    <row r="44" spans="2:4" x14ac:dyDescent="0.35">
      <c r="B44" s="110" t="s">
        <v>1286</v>
      </c>
      <c r="D44" s="110" t="s">
        <v>1286</v>
      </c>
    </row>
    <row r="45" spans="2:4" x14ac:dyDescent="0.35">
      <c r="B45" s="110" t="s">
        <v>1287</v>
      </c>
      <c r="D45" s="110" t="s">
        <v>1287</v>
      </c>
    </row>
    <row r="46" spans="2:4" x14ac:dyDescent="0.35">
      <c r="B46" s="110" t="s">
        <v>1288</v>
      </c>
      <c r="D46" s="110" t="s">
        <v>1288</v>
      </c>
    </row>
    <row r="47" spans="2:4" x14ac:dyDescent="0.35">
      <c r="B47" s="110" t="s">
        <v>1289</v>
      </c>
      <c r="D47" s="110" t="s">
        <v>1289</v>
      </c>
    </row>
    <row r="48" spans="2:4" x14ac:dyDescent="0.35">
      <c r="B48" s="110" t="s">
        <v>1290</v>
      </c>
      <c r="D48" s="110" t="s">
        <v>1290</v>
      </c>
    </row>
    <row r="49" spans="2:4" x14ac:dyDescent="0.35">
      <c r="B49" s="110" t="s">
        <v>1268</v>
      </c>
      <c r="D49" s="110" t="s">
        <v>1268</v>
      </c>
    </row>
    <row r="50" spans="2:4" x14ac:dyDescent="0.35">
      <c r="B50" s="110" t="s">
        <v>1291</v>
      </c>
      <c r="D50" s="110" t="s">
        <v>1291</v>
      </c>
    </row>
    <row r="51" spans="2:4" x14ac:dyDescent="0.35">
      <c r="B51" s="110" t="s">
        <v>1292</v>
      </c>
      <c r="D51" s="110" t="s">
        <v>1292</v>
      </c>
    </row>
    <row r="53" spans="2:4" x14ac:dyDescent="0.35">
      <c r="B53" s="110" t="s">
        <v>109</v>
      </c>
    </row>
    <row r="54" spans="2:4" x14ac:dyDescent="0.35">
      <c r="B54" s="110" t="s">
        <v>42</v>
      </c>
    </row>
    <row r="55" spans="2:4" x14ac:dyDescent="0.35">
      <c r="B55" s="110" t="s">
        <v>1293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5a77ad9-29d6-46ba-aafc-8a884791d412" xsi:nil="true"/>
    <lcf76f155ced4ddcb4097134ff3c332f xmlns="983e8eca-6ab0-4aa0-a00b-8174a6808737">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60783AA294C5E428D8D5BC8E63088FB" ma:contentTypeVersion="19" ma:contentTypeDescription="Create a new document." ma:contentTypeScope="" ma:versionID="a450037820928be6126a136ea682e589">
  <xsd:schema xmlns:xsd="http://www.w3.org/2001/XMLSchema" xmlns:xs="http://www.w3.org/2001/XMLSchema" xmlns:p="http://schemas.microsoft.com/office/2006/metadata/properties" xmlns:ns2="983e8eca-6ab0-4aa0-a00b-8174a6808737" xmlns:ns3="35a77ad9-29d6-46ba-aafc-8a884791d412" targetNamespace="http://schemas.microsoft.com/office/2006/metadata/properties" ma:root="true" ma:fieldsID="c913c5a11084dc2ff04bc66974b178c2" ns2:_="" ns3:_="">
    <xsd:import namespace="983e8eca-6ab0-4aa0-a00b-8174a6808737"/>
    <xsd:import namespace="35a77ad9-29d6-46ba-aafc-8a884791d41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AutoKeyPoints" minOccurs="0"/>
                <xsd:element ref="ns2:MediaServiceKeyPoints" minOccurs="0"/>
                <xsd:element ref="ns2:MediaServiceOCR" minOccurs="0"/>
                <xsd:element ref="ns2:MediaServiceLocation" minOccurs="0"/>
                <xsd:element ref="ns2:MediaServiceSearchProperties" minOccurs="0"/>
                <xsd:element ref="ns2:MediaServiceObjectDetectorVersion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3e8eca-6ab0-4aa0-a00b-8174a68087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120647d-17bd-4a63-9afd-bbea8594aced"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5a77ad9-29d6-46ba-aafc-8a884791d41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48693a4-ee8a-4a2d-ae63-8e698a80f968}" ma:internalName="TaxCatchAll" ma:showField="CatchAllData" ma:web="35a77ad9-29d6-46ba-aafc-8a884791d412">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BE9157-2315-4042-ADE2-DB7BE6B539FB}">
  <ds:schemaRefs>
    <ds:schemaRef ds:uri="http://schemas.microsoft.com/sharepoint/v3/contenttype/forms"/>
  </ds:schemaRefs>
</ds:datastoreItem>
</file>

<file path=customXml/itemProps2.xml><?xml version="1.0" encoding="utf-8"?>
<ds:datastoreItem xmlns:ds="http://schemas.openxmlformats.org/officeDocument/2006/customXml" ds:itemID="{BB69FB28-D401-4A16-9274-7CF0EBDF846D}">
  <ds:schemaRefs>
    <ds:schemaRef ds:uri="http://schemas.microsoft.com/office/2006/metadata/properties"/>
    <ds:schemaRef ds:uri="http://schemas.microsoft.com/office/infopath/2007/PartnerControls"/>
    <ds:schemaRef ds:uri="35a77ad9-29d6-46ba-aafc-8a884791d412"/>
    <ds:schemaRef ds:uri="983e8eca-6ab0-4aa0-a00b-8174a6808737"/>
  </ds:schemaRefs>
</ds:datastoreItem>
</file>

<file path=customXml/itemProps3.xml><?xml version="1.0" encoding="utf-8"?>
<ds:datastoreItem xmlns:ds="http://schemas.openxmlformats.org/officeDocument/2006/customXml" ds:itemID="{FB2ED1F6-CB01-480C-BF42-165B6FDC8F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3e8eca-6ab0-4aa0-a00b-8174a6808737"/>
    <ds:schemaRef ds:uri="35a77ad9-29d6-46ba-aafc-8a884791d4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Project Info &amp; Deliverables</vt:lpstr>
      <vt:lpstr>Stub Specs</vt:lpstr>
      <vt:lpstr>Questions</vt:lpstr>
      <vt:lpstr>Shared Response Lists</vt:lpstr>
      <vt:lpstr>Banner Specs - Banner 1</vt:lpstr>
      <vt:lpstr>Banner Specs - Banner 2</vt:lpstr>
      <vt:lpstr>Request-Change Log</vt:lpstr>
      <vt:lpstr>Weighting</vt:lpstr>
      <vt:lpstr>Definitions</vt:lpstr>
      <vt:lpstr>Lists-Hidden (2)</vt:lpstr>
      <vt:lpstr>'Lists-Hidden (2)'!BU</vt:lpstr>
      <vt:lpstr>'Lists-Hidden (2)'!Direction</vt:lpstr>
      <vt:lpstr>'Lists-Hidden (2)'!FP</vt:lpstr>
      <vt:lpstr>'Lists-Hidden (2)'!Methodology</vt:lpstr>
      <vt:lpstr>Weighting!Print_Area</vt:lpstr>
      <vt:lpstr>'Lists-Hidden (2)'!YN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Ipsos-NA</dc:creator>
  <cp:lastModifiedBy>Sushant Suryawanshi</cp:lastModifiedBy>
  <cp:lastPrinted>2015-12-02T18:56:31Z</cp:lastPrinted>
  <dcterms:created xsi:type="dcterms:W3CDTF">2007-06-25T16:57:42Z</dcterms:created>
  <dcterms:modified xsi:type="dcterms:W3CDTF">2026-03-11T09:47:51Z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0x010100960783AA294C5E428D8D5BC8E63088FB</vt:lpwstr>
  </property>
  <property fmtid="{D5CDD505-2E9C-101B-9397-08002B2CF9AE}" pid="3" name="MediaServiceImageTags">
    <vt:lpwstr/>
  </property>
</Properties>
</file>